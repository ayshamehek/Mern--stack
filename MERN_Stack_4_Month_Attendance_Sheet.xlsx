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Tracker" sheetId="1" state="visible" r:id="rId1"/>
    <sheet xmlns:r="http://schemas.openxmlformats.org/officeDocument/2006/relationships" name="4-Month Summary" sheetId="2" state="visible" r:id="rId2"/>
    <sheet xmlns:r="http://schemas.openxmlformats.org/officeDocument/2006/relationships" name="Month 1" sheetId="3" state="visible" r:id="rId3"/>
    <sheet xmlns:r="http://schemas.openxmlformats.org/officeDocument/2006/relationships" name="Month 2" sheetId="4" state="visible" r:id="rId4"/>
    <sheet xmlns:r="http://schemas.openxmlformats.org/officeDocument/2006/relationships" name="Month 3" sheetId="5" state="visible" r:id="rId5"/>
    <sheet xmlns:r="http://schemas.openxmlformats.org/officeDocument/2006/relationships" name="Month 4" sheetId="6" state="visible" r:id="rId6"/>
  </sheets>
  <definedNames>
    <definedName name="_xlnm._FilterDatabase" localSheetId="0" hidden="1">'Attendance Tracker'!$A$10:$H$131</definedName>
    <definedName name="_xlnm.Print_Titles" localSheetId="0">'Attendance Tracker'!$1:$10</definedName>
    <definedName name="_xlnm.Print_Titles" localSheetId="1">'4-Month Summary'!$1:$3</definedName>
    <definedName name="_xlnm._FilterDatabase" localSheetId="2" hidden="1">'Month 1'!$A$3:$G$33</definedName>
    <definedName name="_xlnm.Print_Titles" localSheetId="2">'Month 1'!$1:$3</definedName>
    <definedName name="_xlnm._FilterDatabase" localSheetId="3" hidden="1">'Month 2'!$A$3:$G$33</definedName>
    <definedName name="_xlnm.Print_Titles" localSheetId="3">'Month 2'!$1:$3</definedName>
    <definedName name="_xlnm._FilterDatabase" localSheetId="4" hidden="1">'Month 3'!$A$3:$G$33</definedName>
    <definedName name="_xlnm.Print_Titles" localSheetId="4">'Month 3'!$1:$3</definedName>
    <definedName name="_xlnm._FilterDatabase" localSheetId="5" hidden="1">'Month 4'!$A$3:$G$33</definedName>
    <definedName name="_xlnm.Print_Titles" localSheetId="5">'Month 4'!$1:$3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</font>
    <font>
      <b val="1"/>
      <color rgb="00FFFFFF"/>
    </font>
    <font>
      <b val="1"/>
      <color rgb="00FFFFFF"/>
      <sz val="15"/>
    </font>
    <font>
      <i val="1"/>
      <color rgb="0017365D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B9BD5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/>
      <right/>
      <top/>
      <bottom style="thin">
        <color rgb="00D9E1F2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1" pivotButton="0" quotePrefix="0" xfId="0"/>
    <xf numFmtId="0" fontId="0" fillId="0" borderId="2" pivotButton="0" quotePrefix="0" xfId="0"/>
    <xf numFmtId="0" fontId="3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3" borderId="0" pivotButton="0" quotePrefix="0" xfId="0"/>
    <xf numFmtId="164" fontId="0" fillId="3" borderId="1" pivotButton="0" quotePrefix="0" xfId="0"/>
    <xf numFmtId="0" fontId="3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5" fillId="7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10" fontId="3" fillId="6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Attendance Overview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'4-Month Summary'!C8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'4-Month Summary'!$A$9:$A$12</f>
            </numRef>
          </cat>
          <val>
            <numRef>
              <f>'4-Month Summary'!$C$9:$C$12</f>
            </numRef>
          </val>
        </ser>
        <ser>
          <idx val="1"/>
          <order val="1"/>
          <tx>
            <strRef>
              <f>'4-Month Summary'!D8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'4-Month Summary'!$A$9:$A$12</f>
            </numRef>
          </cat>
          <val>
            <numRef>
              <f>'4-Month Summary'!$D$9:$D$12</f>
            </numRef>
          </val>
        </ser>
        <ser>
          <idx val="2"/>
          <order val="2"/>
          <tx>
            <strRef>
              <f>'4-Month Summary'!E8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'4-Month Summary'!$A$9:$A$12</f>
            </numRef>
          </cat>
          <val>
            <numRef>
              <f>'4-Month Summary'!$E$9:$E$12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Classes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8" customWidth="1" min="3" max="3"/>
    <col width="14" customWidth="1" min="4" max="4"/>
    <col width="28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MERN STACK COURSE — 4 MONTH ATTENDANCE REGISTER</t>
        </is>
      </c>
    </row>
    <row r="3" ht="22" customHeight="1">
      <c r="A3" s="2" t="inlineStr">
        <is>
          <t>Course Name</t>
        </is>
      </c>
      <c r="B3" s="3" t="inlineStr">
        <is>
          <t>MERN Stack Development</t>
        </is>
      </c>
      <c r="C3" s="4" t="n"/>
      <c r="D3" s="4" t="n"/>
      <c r="F3" s="5" t="inlineStr">
        <is>
          <t>Attendance Codes</t>
        </is>
      </c>
    </row>
    <row r="4" ht="22" customHeight="1">
      <c r="A4" s="2" t="inlineStr">
        <is>
          <t>Duration</t>
        </is>
      </c>
      <c r="B4" s="3" t="inlineStr">
        <is>
          <t>4 Months</t>
        </is>
      </c>
      <c r="C4" s="4" t="n"/>
      <c r="D4" s="4" t="n"/>
      <c r="F4" s="6" t="inlineStr">
        <is>
          <t>P</t>
        </is>
      </c>
      <c r="G4" s="6" t="inlineStr">
        <is>
          <t>Present</t>
        </is>
      </c>
    </row>
    <row r="5" ht="22" customHeight="1">
      <c r="A5" s="2" t="inlineStr">
        <is>
          <t>Instructor</t>
        </is>
      </c>
      <c r="B5" s="3" t="inlineStr">
        <is>
          <t>Enter Instructor Name</t>
        </is>
      </c>
      <c r="C5" s="4" t="n"/>
      <c r="D5" s="4" t="n"/>
      <c r="F5" s="7" t="inlineStr">
        <is>
          <t>A</t>
        </is>
      </c>
      <c r="G5" s="7" t="inlineStr">
        <is>
          <t>Absent</t>
        </is>
      </c>
    </row>
    <row r="6" ht="22" customHeight="1">
      <c r="A6" s="2" t="inlineStr">
        <is>
          <t>Student Name</t>
        </is>
      </c>
      <c r="B6" s="3" t="inlineStr">
        <is>
          <t>Enter Student Name</t>
        </is>
      </c>
      <c r="C6" s="4" t="n"/>
      <c r="D6" s="4" t="n"/>
      <c r="F6" s="8" t="inlineStr">
        <is>
          <t>L</t>
        </is>
      </c>
      <c r="G6" s="8" t="inlineStr">
        <is>
          <t>Leave</t>
        </is>
      </c>
    </row>
    <row r="7" ht="22" customHeight="1">
      <c r="A7" s="2" t="inlineStr">
        <is>
          <t>Batch / Mode</t>
        </is>
      </c>
      <c r="B7" s="3" t="inlineStr">
        <is>
          <t>Online / Offline</t>
        </is>
      </c>
      <c r="C7" s="4" t="n"/>
      <c r="D7" s="4" t="n"/>
    </row>
    <row r="8" ht="22" customHeight="1">
      <c r="A8" s="2" t="inlineStr">
        <is>
          <t>Course Start Date</t>
        </is>
      </c>
      <c r="B8" s="9" t="n">
        <v>46268</v>
      </c>
      <c r="C8" s="4" t="n"/>
      <c r="D8" s="4" t="n"/>
    </row>
    <row r="10">
      <c r="A10" s="10" t="inlineStr">
        <is>
          <t>Date</t>
        </is>
      </c>
      <c r="B10" s="10" t="inlineStr">
        <is>
          <t>Day</t>
        </is>
      </c>
      <c r="C10" s="10" t="inlineStr">
        <is>
          <t>Topic / Module</t>
        </is>
      </c>
      <c r="D10" s="10" t="inlineStr">
        <is>
          <t>Attendance</t>
        </is>
      </c>
      <c r="E10" s="10" t="inlineStr">
        <is>
          <t>Remarks</t>
        </is>
      </c>
      <c r="F10" s="10" t="inlineStr">
        <is>
          <t>Present</t>
        </is>
      </c>
      <c r="G10" s="10" t="inlineStr">
        <is>
          <t>Absent</t>
        </is>
      </c>
      <c r="H10" s="10" t="inlineStr">
        <is>
          <t>Leave</t>
        </is>
      </c>
    </row>
    <row r="11">
      <c r="A11" s="11">
        <f>IF($B$8="","",$B$8+0)</f>
        <v/>
      </c>
      <c r="B11" s="12">
        <f>IF(A11="","",TEXT(A11,"ddd"))</f>
        <v/>
      </c>
      <c r="C11" s="13" t="inlineStr"/>
      <c r="D11" s="12" t="inlineStr"/>
      <c r="E11" s="13" t="inlineStr"/>
      <c r="F11" s="12">
        <f>IF(D11="P",1,0)</f>
        <v/>
      </c>
      <c r="G11" s="12">
        <f>IF(D11="A",1,0)</f>
        <v/>
      </c>
      <c r="H11" s="12">
        <f>IF(D11="L",1,0)</f>
        <v/>
      </c>
    </row>
    <row r="12">
      <c r="A12" s="11">
        <f>IF($B$8="","",$B$8+1)</f>
        <v/>
      </c>
      <c r="B12" s="12">
        <f>IF(A12="","",TEXT(A12,"ddd"))</f>
        <v/>
      </c>
      <c r="C12" s="13" t="inlineStr"/>
      <c r="D12" s="12" t="inlineStr"/>
      <c r="E12" s="13" t="inlineStr"/>
      <c r="F12" s="12">
        <f>IF(D12="P",1,0)</f>
        <v/>
      </c>
      <c r="G12" s="12">
        <f>IF(D12="A",1,0)</f>
        <v/>
      </c>
      <c r="H12" s="12">
        <f>IF(D12="L",1,0)</f>
        <v/>
      </c>
    </row>
    <row r="13">
      <c r="A13" s="11">
        <f>IF($B$8="","",$B$8+2)</f>
        <v/>
      </c>
      <c r="B13" s="12">
        <f>IF(A13="","",TEXT(A13,"ddd"))</f>
        <v/>
      </c>
      <c r="C13" s="13" t="inlineStr"/>
      <c r="D13" s="12" t="inlineStr"/>
      <c r="E13" s="13" t="inlineStr"/>
      <c r="F13" s="12">
        <f>IF(D13="P",1,0)</f>
        <v/>
      </c>
      <c r="G13" s="12">
        <f>IF(D13="A",1,0)</f>
        <v/>
      </c>
      <c r="H13" s="12">
        <f>IF(D13="L",1,0)</f>
        <v/>
      </c>
    </row>
    <row r="14">
      <c r="A14" s="11">
        <f>IF($B$8="","",$B$8+3)</f>
        <v/>
      </c>
      <c r="B14" s="12">
        <f>IF(A14="","",TEXT(A14,"ddd"))</f>
        <v/>
      </c>
      <c r="C14" s="13" t="inlineStr"/>
      <c r="D14" s="12" t="inlineStr"/>
      <c r="E14" s="13" t="inlineStr"/>
      <c r="F14" s="12">
        <f>IF(D14="P",1,0)</f>
        <v/>
      </c>
      <c r="G14" s="12">
        <f>IF(D14="A",1,0)</f>
        <v/>
      </c>
      <c r="H14" s="12">
        <f>IF(D14="L",1,0)</f>
        <v/>
      </c>
    </row>
    <row r="15">
      <c r="A15" s="11">
        <f>IF($B$8="","",$B$8+4)</f>
        <v/>
      </c>
      <c r="B15" s="12">
        <f>IF(A15="","",TEXT(A15,"ddd"))</f>
        <v/>
      </c>
      <c r="C15" s="13" t="inlineStr"/>
      <c r="D15" s="12" t="inlineStr"/>
      <c r="E15" s="13" t="inlineStr"/>
      <c r="F15" s="12">
        <f>IF(D15="P",1,0)</f>
        <v/>
      </c>
      <c r="G15" s="12">
        <f>IF(D15="A",1,0)</f>
        <v/>
      </c>
      <c r="H15" s="12">
        <f>IF(D15="L",1,0)</f>
        <v/>
      </c>
    </row>
    <row r="16">
      <c r="A16" s="11">
        <f>IF($B$8="","",$B$8+5)</f>
        <v/>
      </c>
      <c r="B16" s="12">
        <f>IF(A16="","",TEXT(A16,"ddd"))</f>
        <v/>
      </c>
      <c r="C16" s="13" t="inlineStr"/>
      <c r="D16" s="12" t="inlineStr"/>
      <c r="E16" s="13" t="inlineStr"/>
      <c r="F16" s="12">
        <f>IF(D16="P",1,0)</f>
        <v/>
      </c>
      <c r="G16" s="12">
        <f>IF(D16="A",1,0)</f>
        <v/>
      </c>
      <c r="H16" s="12">
        <f>IF(D16="L",1,0)</f>
        <v/>
      </c>
    </row>
    <row r="17">
      <c r="A17" s="11">
        <f>IF($B$8="","",$B$8+6)</f>
        <v/>
      </c>
      <c r="B17" s="12">
        <f>IF(A17="","",TEXT(A17,"ddd"))</f>
        <v/>
      </c>
      <c r="C17" s="13" t="inlineStr"/>
      <c r="D17" s="12" t="inlineStr"/>
      <c r="E17" s="13" t="inlineStr"/>
      <c r="F17" s="12">
        <f>IF(D17="P",1,0)</f>
        <v/>
      </c>
      <c r="G17" s="12">
        <f>IF(D17="A",1,0)</f>
        <v/>
      </c>
      <c r="H17" s="12">
        <f>IF(D17="L",1,0)</f>
        <v/>
      </c>
    </row>
    <row r="18">
      <c r="A18" s="11">
        <f>IF($B$8="","",$B$8+7)</f>
        <v/>
      </c>
      <c r="B18" s="12">
        <f>IF(A18="","",TEXT(A18,"ddd"))</f>
        <v/>
      </c>
      <c r="C18" s="13" t="inlineStr"/>
      <c r="D18" s="12" t="inlineStr"/>
      <c r="E18" s="13" t="inlineStr"/>
      <c r="F18" s="12">
        <f>IF(D18="P",1,0)</f>
        <v/>
      </c>
      <c r="G18" s="12">
        <f>IF(D18="A",1,0)</f>
        <v/>
      </c>
      <c r="H18" s="12">
        <f>IF(D18="L",1,0)</f>
        <v/>
      </c>
    </row>
    <row r="19">
      <c r="A19" s="11">
        <f>IF($B$8="","",$B$8+8)</f>
        <v/>
      </c>
      <c r="B19" s="12">
        <f>IF(A19="","",TEXT(A19,"ddd"))</f>
        <v/>
      </c>
      <c r="C19" s="13" t="inlineStr"/>
      <c r="D19" s="12" t="inlineStr"/>
      <c r="E19" s="13" t="inlineStr"/>
      <c r="F19" s="12">
        <f>IF(D19="P",1,0)</f>
        <v/>
      </c>
      <c r="G19" s="12">
        <f>IF(D19="A",1,0)</f>
        <v/>
      </c>
      <c r="H19" s="12">
        <f>IF(D19="L",1,0)</f>
        <v/>
      </c>
    </row>
    <row r="20">
      <c r="A20" s="11">
        <f>IF($B$8="","",$B$8+9)</f>
        <v/>
      </c>
      <c r="B20" s="12">
        <f>IF(A20="","",TEXT(A20,"ddd"))</f>
        <v/>
      </c>
      <c r="C20" s="13" t="inlineStr"/>
      <c r="D20" s="12" t="inlineStr"/>
      <c r="E20" s="13" t="inlineStr"/>
      <c r="F20" s="12">
        <f>IF(D20="P",1,0)</f>
        <v/>
      </c>
      <c r="G20" s="12">
        <f>IF(D20="A",1,0)</f>
        <v/>
      </c>
      <c r="H20" s="12">
        <f>IF(D20="L",1,0)</f>
        <v/>
      </c>
    </row>
    <row r="21">
      <c r="A21" s="11">
        <f>IF($B$8="","",$B$8+10)</f>
        <v/>
      </c>
      <c r="B21" s="12">
        <f>IF(A21="","",TEXT(A21,"ddd"))</f>
        <v/>
      </c>
      <c r="C21" s="13" t="inlineStr"/>
      <c r="D21" s="12" t="inlineStr"/>
      <c r="E21" s="13" t="inlineStr"/>
      <c r="F21" s="12">
        <f>IF(D21="P",1,0)</f>
        <v/>
      </c>
      <c r="G21" s="12">
        <f>IF(D21="A",1,0)</f>
        <v/>
      </c>
      <c r="H21" s="12">
        <f>IF(D21="L",1,0)</f>
        <v/>
      </c>
    </row>
    <row r="22">
      <c r="A22" s="11">
        <f>IF($B$8="","",$B$8+11)</f>
        <v/>
      </c>
      <c r="B22" s="12">
        <f>IF(A22="","",TEXT(A22,"ddd"))</f>
        <v/>
      </c>
      <c r="C22" s="13" t="inlineStr"/>
      <c r="D22" s="12" t="inlineStr"/>
      <c r="E22" s="13" t="inlineStr"/>
      <c r="F22" s="12">
        <f>IF(D22="P",1,0)</f>
        <v/>
      </c>
      <c r="G22" s="12">
        <f>IF(D22="A",1,0)</f>
        <v/>
      </c>
      <c r="H22" s="12">
        <f>IF(D22="L",1,0)</f>
        <v/>
      </c>
    </row>
    <row r="23">
      <c r="A23" s="11">
        <f>IF($B$8="","",$B$8+12)</f>
        <v/>
      </c>
      <c r="B23" s="12">
        <f>IF(A23="","",TEXT(A23,"ddd"))</f>
        <v/>
      </c>
      <c r="C23" s="13" t="inlineStr"/>
      <c r="D23" s="12" t="inlineStr"/>
      <c r="E23" s="13" t="inlineStr"/>
      <c r="F23" s="12">
        <f>IF(D23="P",1,0)</f>
        <v/>
      </c>
      <c r="G23" s="12">
        <f>IF(D23="A",1,0)</f>
        <v/>
      </c>
      <c r="H23" s="12">
        <f>IF(D23="L",1,0)</f>
        <v/>
      </c>
    </row>
    <row r="24">
      <c r="A24" s="11">
        <f>IF($B$8="","",$B$8+13)</f>
        <v/>
      </c>
      <c r="B24" s="12">
        <f>IF(A24="","",TEXT(A24,"ddd"))</f>
        <v/>
      </c>
      <c r="C24" s="13" t="inlineStr"/>
      <c r="D24" s="12" t="inlineStr"/>
      <c r="E24" s="13" t="inlineStr"/>
      <c r="F24" s="12">
        <f>IF(D24="P",1,0)</f>
        <v/>
      </c>
      <c r="G24" s="12">
        <f>IF(D24="A",1,0)</f>
        <v/>
      </c>
      <c r="H24" s="12">
        <f>IF(D24="L",1,0)</f>
        <v/>
      </c>
    </row>
    <row r="25">
      <c r="A25" s="11">
        <f>IF($B$8="","",$B$8+14)</f>
        <v/>
      </c>
      <c r="B25" s="12">
        <f>IF(A25="","",TEXT(A25,"ddd"))</f>
        <v/>
      </c>
      <c r="C25" s="13" t="inlineStr"/>
      <c r="D25" s="12" t="inlineStr"/>
      <c r="E25" s="13" t="inlineStr"/>
      <c r="F25" s="12">
        <f>IF(D25="P",1,0)</f>
        <v/>
      </c>
      <c r="G25" s="12">
        <f>IF(D25="A",1,0)</f>
        <v/>
      </c>
      <c r="H25" s="12">
        <f>IF(D25="L",1,0)</f>
        <v/>
      </c>
    </row>
    <row r="26">
      <c r="A26" s="11">
        <f>IF($B$8="","",$B$8+15)</f>
        <v/>
      </c>
      <c r="B26" s="12">
        <f>IF(A26="","",TEXT(A26,"ddd"))</f>
        <v/>
      </c>
      <c r="C26" s="13" t="inlineStr"/>
      <c r="D26" s="12" t="inlineStr"/>
      <c r="E26" s="13" t="inlineStr"/>
      <c r="F26" s="12">
        <f>IF(D26="P",1,0)</f>
        <v/>
      </c>
      <c r="G26" s="12">
        <f>IF(D26="A",1,0)</f>
        <v/>
      </c>
      <c r="H26" s="12">
        <f>IF(D26="L",1,0)</f>
        <v/>
      </c>
    </row>
    <row r="27">
      <c r="A27" s="11">
        <f>IF($B$8="","",$B$8+16)</f>
        <v/>
      </c>
      <c r="B27" s="12">
        <f>IF(A27="","",TEXT(A27,"ddd"))</f>
        <v/>
      </c>
      <c r="C27" s="13" t="inlineStr"/>
      <c r="D27" s="12" t="inlineStr"/>
      <c r="E27" s="13" t="inlineStr"/>
      <c r="F27" s="12">
        <f>IF(D27="P",1,0)</f>
        <v/>
      </c>
      <c r="G27" s="12">
        <f>IF(D27="A",1,0)</f>
        <v/>
      </c>
      <c r="H27" s="12">
        <f>IF(D27="L",1,0)</f>
        <v/>
      </c>
    </row>
    <row r="28">
      <c r="A28" s="11">
        <f>IF($B$8="","",$B$8+17)</f>
        <v/>
      </c>
      <c r="B28" s="12">
        <f>IF(A28="","",TEXT(A28,"ddd"))</f>
        <v/>
      </c>
      <c r="C28" s="13" t="inlineStr"/>
      <c r="D28" s="12" t="inlineStr"/>
      <c r="E28" s="13" t="inlineStr"/>
      <c r="F28" s="12">
        <f>IF(D28="P",1,0)</f>
        <v/>
      </c>
      <c r="G28" s="12">
        <f>IF(D28="A",1,0)</f>
        <v/>
      </c>
      <c r="H28" s="12">
        <f>IF(D28="L",1,0)</f>
        <v/>
      </c>
    </row>
    <row r="29">
      <c r="A29" s="11">
        <f>IF($B$8="","",$B$8+18)</f>
        <v/>
      </c>
      <c r="B29" s="12">
        <f>IF(A29="","",TEXT(A29,"ddd"))</f>
        <v/>
      </c>
      <c r="C29" s="13" t="inlineStr"/>
      <c r="D29" s="12" t="inlineStr"/>
      <c r="E29" s="13" t="inlineStr"/>
      <c r="F29" s="12">
        <f>IF(D29="P",1,0)</f>
        <v/>
      </c>
      <c r="G29" s="12">
        <f>IF(D29="A",1,0)</f>
        <v/>
      </c>
      <c r="H29" s="12">
        <f>IF(D29="L",1,0)</f>
        <v/>
      </c>
    </row>
    <row r="30">
      <c r="A30" s="11">
        <f>IF($B$8="","",$B$8+19)</f>
        <v/>
      </c>
      <c r="B30" s="12">
        <f>IF(A30="","",TEXT(A30,"ddd"))</f>
        <v/>
      </c>
      <c r="C30" s="13" t="inlineStr"/>
      <c r="D30" s="12" t="inlineStr"/>
      <c r="E30" s="13" t="inlineStr"/>
      <c r="F30" s="12">
        <f>IF(D30="P",1,0)</f>
        <v/>
      </c>
      <c r="G30" s="12">
        <f>IF(D30="A",1,0)</f>
        <v/>
      </c>
      <c r="H30" s="12">
        <f>IF(D30="L",1,0)</f>
        <v/>
      </c>
    </row>
    <row r="31">
      <c r="A31" s="11">
        <f>IF($B$8="","",$B$8+20)</f>
        <v/>
      </c>
      <c r="B31" s="12">
        <f>IF(A31="","",TEXT(A31,"ddd"))</f>
        <v/>
      </c>
      <c r="C31" s="13" t="inlineStr"/>
      <c r="D31" s="12" t="inlineStr"/>
      <c r="E31" s="13" t="inlineStr"/>
      <c r="F31" s="12">
        <f>IF(D31="P",1,0)</f>
        <v/>
      </c>
      <c r="G31" s="12">
        <f>IF(D31="A",1,0)</f>
        <v/>
      </c>
      <c r="H31" s="12">
        <f>IF(D31="L",1,0)</f>
        <v/>
      </c>
    </row>
    <row r="32">
      <c r="A32" s="11">
        <f>IF($B$8="","",$B$8+21)</f>
        <v/>
      </c>
      <c r="B32" s="12">
        <f>IF(A32="","",TEXT(A32,"ddd"))</f>
        <v/>
      </c>
      <c r="C32" s="13" t="inlineStr"/>
      <c r="D32" s="12" t="inlineStr"/>
      <c r="E32" s="13" t="inlineStr"/>
      <c r="F32" s="12">
        <f>IF(D32="P",1,0)</f>
        <v/>
      </c>
      <c r="G32" s="12">
        <f>IF(D32="A",1,0)</f>
        <v/>
      </c>
      <c r="H32" s="12">
        <f>IF(D32="L",1,0)</f>
        <v/>
      </c>
    </row>
    <row r="33">
      <c r="A33" s="11">
        <f>IF($B$8="","",$B$8+22)</f>
        <v/>
      </c>
      <c r="B33" s="12">
        <f>IF(A33="","",TEXT(A33,"ddd"))</f>
        <v/>
      </c>
      <c r="C33" s="13" t="inlineStr"/>
      <c r="D33" s="12" t="inlineStr"/>
      <c r="E33" s="13" t="inlineStr"/>
      <c r="F33" s="12">
        <f>IF(D33="P",1,0)</f>
        <v/>
      </c>
      <c r="G33" s="12">
        <f>IF(D33="A",1,0)</f>
        <v/>
      </c>
      <c r="H33" s="12">
        <f>IF(D33="L",1,0)</f>
        <v/>
      </c>
    </row>
    <row r="34">
      <c r="A34" s="11">
        <f>IF($B$8="","",$B$8+23)</f>
        <v/>
      </c>
      <c r="B34" s="12">
        <f>IF(A34="","",TEXT(A34,"ddd"))</f>
        <v/>
      </c>
      <c r="C34" s="13" t="inlineStr"/>
      <c r="D34" s="12" t="inlineStr"/>
      <c r="E34" s="13" t="inlineStr"/>
      <c r="F34" s="12">
        <f>IF(D34="P",1,0)</f>
        <v/>
      </c>
      <c r="G34" s="12">
        <f>IF(D34="A",1,0)</f>
        <v/>
      </c>
      <c r="H34" s="12">
        <f>IF(D34="L",1,0)</f>
        <v/>
      </c>
    </row>
    <row r="35">
      <c r="A35" s="11">
        <f>IF($B$8="","",$B$8+24)</f>
        <v/>
      </c>
      <c r="B35" s="12">
        <f>IF(A35="","",TEXT(A35,"ddd"))</f>
        <v/>
      </c>
      <c r="C35" s="13" t="inlineStr"/>
      <c r="D35" s="12" t="inlineStr"/>
      <c r="E35" s="13" t="inlineStr"/>
      <c r="F35" s="12">
        <f>IF(D35="P",1,0)</f>
        <v/>
      </c>
      <c r="G35" s="12">
        <f>IF(D35="A",1,0)</f>
        <v/>
      </c>
      <c r="H35" s="12">
        <f>IF(D35="L",1,0)</f>
        <v/>
      </c>
    </row>
    <row r="36">
      <c r="A36" s="11">
        <f>IF($B$8="","",$B$8+25)</f>
        <v/>
      </c>
      <c r="B36" s="12">
        <f>IF(A36="","",TEXT(A36,"ddd"))</f>
        <v/>
      </c>
      <c r="C36" s="13" t="inlineStr"/>
      <c r="D36" s="12" t="inlineStr"/>
      <c r="E36" s="13" t="inlineStr"/>
      <c r="F36" s="12">
        <f>IF(D36="P",1,0)</f>
        <v/>
      </c>
      <c r="G36" s="12">
        <f>IF(D36="A",1,0)</f>
        <v/>
      </c>
      <c r="H36" s="12">
        <f>IF(D36="L",1,0)</f>
        <v/>
      </c>
    </row>
    <row r="37">
      <c r="A37" s="11">
        <f>IF($B$8="","",$B$8+26)</f>
        <v/>
      </c>
      <c r="B37" s="12">
        <f>IF(A37="","",TEXT(A37,"ddd"))</f>
        <v/>
      </c>
      <c r="C37" s="13" t="inlineStr"/>
      <c r="D37" s="12" t="inlineStr"/>
      <c r="E37" s="13" t="inlineStr"/>
      <c r="F37" s="12">
        <f>IF(D37="P",1,0)</f>
        <v/>
      </c>
      <c r="G37" s="12">
        <f>IF(D37="A",1,0)</f>
        <v/>
      </c>
      <c r="H37" s="12">
        <f>IF(D37="L",1,0)</f>
        <v/>
      </c>
    </row>
    <row r="38">
      <c r="A38" s="11">
        <f>IF($B$8="","",$B$8+27)</f>
        <v/>
      </c>
      <c r="B38" s="12">
        <f>IF(A38="","",TEXT(A38,"ddd"))</f>
        <v/>
      </c>
      <c r="C38" s="13" t="inlineStr"/>
      <c r="D38" s="12" t="inlineStr"/>
      <c r="E38" s="13" t="inlineStr"/>
      <c r="F38" s="12">
        <f>IF(D38="P",1,0)</f>
        <v/>
      </c>
      <c r="G38" s="12">
        <f>IF(D38="A",1,0)</f>
        <v/>
      </c>
      <c r="H38" s="12">
        <f>IF(D38="L",1,0)</f>
        <v/>
      </c>
    </row>
    <row r="39">
      <c r="A39" s="11">
        <f>IF($B$8="","",$B$8+28)</f>
        <v/>
      </c>
      <c r="B39" s="12">
        <f>IF(A39="","",TEXT(A39,"ddd"))</f>
        <v/>
      </c>
      <c r="C39" s="13" t="inlineStr"/>
      <c r="D39" s="12" t="inlineStr"/>
      <c r="E39" s="13" t="inlineStr"/>
      <c r="F39" s="12">
        <f>IF(D39="P",1,0)</f>
        <v/>
      </c>
      <c r="G39" s="12">
        <f>IF(D39="A",1,0)</f>
        <v/>
      </c>
      <c r="H39" s="12">
        <f>IF(D39="L",1,0)</f>
        <v/>
      </c>
    </row>
    <row r="40">
      <c r="A40" s="11">
        <f>IF($B$8="","",$B$8+29)</f>
        <v/>
      </c>
      <c r="B40" s="12">
        <f>IF(A40="","",TEXT(A40,"ddd"))</f>
        <v/>
      </c>
      <c r="C40" s="13" t="inlineStr"/>
      <c r="D40" s="12" t="inlineStr"/>
      <c r="E40" s="13" t="inlineStr"/>
      <c r="F40" s="12">
        <f>IF(D40="P",1,0)</f>
        <v/>
      </c>
      <c r="G40" s="12">
        <f>IF(D40="A",1,0)</f>
        <v/>
      </c>
      <c r="H40" s="12">
        <f>IF(D40="L",1,0)</f>
        <v/>
      </c>
    </row>
    <row r="41">
      <c r="A41" s="11">
        <f>IF($B$8="","",$B$8+30)</f>
        <v/>
      </c>
      <c r="B41" s="12">
        <f>IF(A41="","",TEXT(A41,"ddd"))</f>
        <v/>
      </c>
      <c r="C41" s="13" t="inlineStr"/>
      <c r="D41" s="12" t="inlineStr"/>
      <c r="E41" s="13" t="inlineStr"/>
      <c r="F41" s="12">
        <f>IF(D41="P",1,0)</f>
        <v/>
      </c>
      <c r="G41" s="12">
        <f>IF(D41="A",1,0)</f>
        <v/>
      </c>
      <c r="H41" s="12">
        <f>IF(D41="L",1,0)</f>
        <v/>
      </c>
    </row>
    <row r="42">
      <c r="A42" s="11">
        <f>IF($B$8="","",$B$8+31)</f>
        <v/>
      </c>
      <c r="B42" s="12">
        <f>IF(A42="","",TEXT(A42,"ddd"))</f>
        <v/>
      </c>
      <c r="C42" s="13" t="inlineStr"/>
      <c r="D42" s="12" t="inlineStr"/>
      <c r="E42" s="13" t="inlineStr"/>
      <c r="F42" s="12">
        <f>IF(D42="P",1,0)</f>
        <v/>
      </c>
      <c r="G42" s="12">
        <f>IF(D42="A",1,0)</f>
        <v/>
      </c>
      <c r="H42" s="12">
        <f>IF(D42="L",1,0)</f>
        <v/>
      </c>
    </row>
    <row r="43">
      <c r="A43" s="11">
        <f>IF($B$8="","",$B$8+32)</f>
        <v/>
      </c>
      <c r="B43" s="12">
        <f>IF(A43="","",TEXT(A43,"ddd"))</f>
        <v/>
      </c>
      <c r="C43" s="13" t="inlineStr"/>
      <c r="D43" s="12" t="inlineStr"/>
      <c r="E43" s="13" t="inlineStr"/>
      <c r="F43" s="12">
        <f>IF(D43="P",1,0)</f>
        <v/>
      </c>
      <c r="G43" s="12">
        <f>IF(D43="A",1,0)</f>
        <v/>
      </c>
      <c r="H43" s="12">
        <f>IF(D43="L",1,0)</f>
        <v/>
      </c>
    </row>
    <row r="44">
      <c r="A44" s="11">
        <f>IF($B$8="","",$B$8+33)</f>
        <v/>
      </c>
      <c r="B44" s="12">
        <f>IF(A44="","",TEXT(A44,"ddd"))</f>
        <v/>
      </c>
      <c r="C44" s="13" t="inlineStr"/>
      <c r="D44" s="12" t="inlineStr"/>
      <c r="E44" s="13" t="inlineStr"/>
      <c r="F44" s="12">
        <f>IF(D44="P",1,0)</f>
        <v/>
      </c>
      <c r="G44" s="12">
        <f>IF(D44="A",1,0)</f>
        <v/>
      </c>
      <c r="H44" s="12">
        <f>IF(D44="L",1,0)</f>
        <v/>
      </c>
    </row>
    <row r="45">
      <c r="A45" s="11">
        <f>IF($B$8="","",$B$8+34)</f>
        <v/>
      </c>
      <c r="B45" s="12">
        <f>IF(A45="","",TEXT(A45,"ddd"))</f>
        <v/>
      </c>
      <c r="C45" s="13" t="inlineStr"/>
      <c r="D45" s="12" t="inlineStr"/>
      <c r="E45" s="13" t="inlineStr"/>
      <c r="F45" s="12">
        <f>IF(D45="P",1,0)</f>
        <v/>
      </c>
      <c r="G45" s="12">
        <f>IF(D45="A",1,0)</f>
        <v/>
      </c>
      <c r="H45" s="12">
        <f>IF(D45="L",1,0)</f>
        <v/>
      </c>
    </row>
    <row r="46">
      <c r="A46" s="11">
        <f>IF($B$8="","",$B$8+35)</f>
        <v/>
      </c>
      <c r="B46" s="12">
        <f>IF(A46="","",TEXT(A46,"ddd"))</f>
        <v/>
      </c>
      <c r="C46" s="13" t="inlineStr"/>
      <c r="D46" s="12" t="inlineStr"/>
      <c r="E46" s="13" t="inlineStr"/>
      <c r="F46" s="12">
        <f>IF(D46="P",1,0)</f>
        <v/>
      </c>
      <c r="G46" s="12">
        <f>IF(D46="A",1,0)</f>
        <v/>
      </c>
      <c r="H46" s="12">
        <f>IF(D46="L",1,0)</f>
        <v/>
      </c>
    </row>
    <row r="47">
      <c r="A47" s="11">
        <f>IF($B$8="","",$B$8+36)</f>
        <v/>
      </c>
      <c r="B47" s="12">
        <f>IF(A47="","",TEXT(A47,"ddd"))</f>
        <v/>
      </c>
      <c r="C47" s="13" t="inlineStr"/>
      <c r="D47" s="12" t="inlineStr"/>
      <c r="E47" s="13" t="inlineStr"/>
      <c r="F47" s="12">
        <f>IF(D47="P",1,0)</f>
        <v/>
      </c>
      <c r="G47" s="12">
        <f>IF(D47="A",1,0)</f>
        <v/>
      </c>
      <c r="H47" s="12">
        <f>IF(D47="L",1,0)</f>
        <v/>
      </c>
    </row>
    <row r="48">
      <c r="A48" s="11">
        <f>IF($B$8="","",$B$8+37)</f>
        <v/>
      </c>
      <c r="B48" s="12">
        <f>IF(A48="","",TEXT(A48,"ddd"))</f>
        <v/>
      </c>
      <c r="C48" s="13" t="inlineStr"/>
      <c r="D48" s="12" t="inlineStr"/>
      <c r="E48" s="13" t="inlineStr"/>
      <c r="F48" s="12">
        <f>IF(D48="P",1,0)</f>
        <v/>
      </c>
      <c r="G48" s="12">
        <f>IF(D48="A",1,0)</f>
        <v/>
      </c>
      <c r="H48" s="12">
        <f>IF(D48="L",1,0)</f>
        <v/>
      </c>
    </row>
    <row r="49">
      <c r="A49" s="11">
        <f>IF($B$8="","",$B$8+38)</f>
        <v/>
      </c>
      <c r="B49" s="12">
        <f>IF(A49="","",TEXT(A49,"ddd"))</f>
        <v/>
      </c>
      <c r="C49" s="13" t="inlineStr"/>
      <c r="D49" s="12" t="inlineStr"/>
      <c r="E49" s="13" t="inlineStr"/>
      <c r="F49" s="12">
        <f>IF(D49="P",1,0)</f>
        <v/>
      </c>
      <c r="G49" s="12">
        <f>IF(D49="A",1,0)</f>
        <v/>
      </c>
      <c r="H49" s="12">
        <f>IF(D49="L",1,0)</f>
        <v/>
      </c>
    </row>
    <row r="50">
      <c r="A50" s="11">
        <f>IF($B$8="","",$B$8+39)</f>
        <v/>
      </c>
      <c r="B50" s="12">
        <f>IF(A50="","",TEXT(A50,"ddd"))</f>
        <v/>
      </c>
      <c r="C50" s="13" t="inlineStr"/>
      <c r="D50" s="12" t="inlineStr"/>
      <c r="E50" s="13" t="inlineStr"/>
      <c r="F50" s="12">
        <f>IF(D50="P",1,0)</f>
        <v/>
      </c>
      <c r="G50" s="12">
        <f>IF(D50="A",1,0)</f>
        <v/>
      </c>
      <c r="H50" s="12">
        <f>IF(D50="L",1,0)</f>
        <v/>
      </c>
    </row>
    <row r="51">
      <c r="A51" s="11">
        <f>IF($B$8="","",$B$8+40)</f>
        <v/>
      </c>
      <c r="B51" s="12">
        <f>IF(A51="","",TEXT(A51,"ddd"))</f>
        <v/>
      </c>
      <c r="C51" s="13" t="inlineStr"/>
      <c r="D51" s="12" t="inlineStr"/>
      <c r="E51" s="13" t="inlineStr"/>
      <c r="F51" s="12">
        <f>IF(D51="P",1,0)</f>
        <v/>
      </c>
      <c r="G51" s="12">
        <f>IF(D51="A",1,0)</f>
        <v/>
      </c>
      <c r="H51" s="12">
        <f>IF(D51="L",1,0)</f>
        <v/>
      </c>
    </row>
    <row r="52">
      <c r="A52" s="11">
        <f>IF($B$8="","",$B$8+41)</f>
        <v/>
      </c>
      <c r="B52" s="12">
        <f>IF(A52="","",TEXT(A52,"ddd"))</f>
        <v/>
      </c>
      <c r="C52" s="13" t="inlineStr"/>
      <c r="D52" s="12" t="inlineStr"/>
      <c r="E52" s="13" t="inlineStr"/>
      <c r="F52" s="12">
        <f>IF(D52="P",1,0)</f>
        <v/>
      </c>
      <c r="G52" s="12">
        <f>IF(D52="A",1,0)</f>
        <v/>
      </c>
      <c r="H52" s="12">
        <f>IF(D52="L",1,0)</f>
        <v/>
      </c>
    </row>
    <row r="53">
      <c r="A53" s="11">
        <f>IF($B$8="","",$B$8+42)</f>
        <v/>
      </c>
      <c r="B53" s="12">
        <f>IF(A53="","",TEXT(A53,"ddd"))</f>
        <v/>
      </c>
      <c r="C53" s="13" t="inlineStr"/>
      <c r="D53" s="12" t="inlineStr"/>
      <c r="E53" s="13" t="inlineStr"/>
      <c r="F53" s="12">
        <f>IF(D53="P",1,0)</f>
        <v/>
      </c>
      <c r="G53" s="12">
        <f>IF(D53="A",1,0)</f>
        <v/>
      </c>
      <c r="H53" s="12">
        <f>IF(D53="L",1,0)</f>
        <v/>
      </c>
    </row>
    <row r="54">
      <c r="A54" s="11">
        <f>IF($B$8="","",$B$8+43)</f>
        <v/>
      </c>
      <c r="B54" s="12">
        <f>IF(A54="","",TEXT(A54,"ddd"))</f>
        <v/>
      </c>
      <c r="C54" s="13" t="inlineStr"/>
      <c r="D54" s="12" t="inlineStr"/>
      <c r="E54" s="13" t="inlineStr"/>
      <c r="F54" s="12">
        <f>IF(D54="P",1,0)</f>
        <v/>
      </c>
      <c r="G54" s="12">
        <f>IF(D54="A",1,0)</f>
        <v/>
      </c>
      <c r="H54" s="12">
        <f>IF(D54="L",1,0)</f>
        <v/>
      </c>
    </row>
    <row r="55">
      <c r="A55" s="11">
        <f>IF($B$8="","",$B$8+44)</f>
        <v/>
      </c>
      <c r="B55" s="12">
        <f>IF(A55="","",TEXT(A55,"ddd"))</f>
        <v/>
      </c>
      <c r="C55" s="13" t="inlineStr"/>
      <c r="D55" s="12" t="inlineStr"/>
      <c r="E55" s="13" t="inlineStr"/>
      <c r="F55" s="12">
        <f>IF(D55="P",1,0)</f>
        <v/>
      </c>
      <c r="G55" s="12">
        <f>IF(D55="A",1,0)</f>
        <v/>
      </c>
      <c r="H55" s="12">
        <f>IF(D55="L",1,0)</f>
        <v/>
      </c>
    </row>
    <row r="56">
      <c r="A56" s="11">
        <f>IF($B$8="","",$B$8+45)</f>
        <v/>
      </c>
      <c r="B56" s="12">
        <f>IF(A56="","",TEXT(A56,"ddd"))</f>
        <v/>
      </c>
      <c r="C56" s="13" t="inlineStr"/>
      <c r="D56" s="12" t="inlineStr"/>
      <c r="E56" s="13" t="inlineStr"/>
      <c r="F56" s="12">
        <f>IF(D56="P",1,0)</f>
        <v/>
      </c>
      <c r="G56" s="12">
        <f>IF(D56="A",1,0)</f>
        <v/>
      </c>
      <c r="H56" s="12">
        <f>IF(D56="L",1,0)</f>
        <v/>
      </c>
    </row>
    <row r="57">
      <c r="A57" s="11">
        <f>IF($B$8="","",$B$8+46)</f>
        <v/>
      </c>
      <c r="B57" s="12">
        <f>IF(A57="","",TEXT(A57,"ddd"))</f>
        <v/>
      </c>
      <c r="C57" s="13" t="inlineStr"/>
      <c r="D57" s="12" t="inlineStr"/>
      <c r="E57" s="13" t="inlineStr"/>
      <c r="F57" s="12">
        <f>IF(D57="P",1,0)</f>
        <v/>
      </c>
      <c r="G57" s="12">
        <f>IF(D57="A",1,0)</f>
        <v/>
      </c>
      <c r="H57" s="12">
        <f>IF(D57="L",1,0)</f>
        <v/>
      </c>
    </row>
    <row r="58">
      <c r="A58" s="11">
        <f>IF($B$8="","",$B$8+47)</f>
        <v/>
      </c>
      <c r="B58" s="12">
        <f>IF(A58="","",TEXT(A58,"ddd"))</f>
        <v/>
      </c>
      <c r="C58" s="13" t="inlineStr"/>
      <c r="D58" s="12" t="inlineStr"/>
      <c r="E58" s="13" t="inlineStr"/>
      <c r="F58" s="12">
        <f>IF(D58="P",1,0)</f>
        <v/>
      </c>
      <c r="G58" s="12">
        <f>IF(D58="A",1,0)</f>
        <v/>
      </c>
      <c r="H58" s="12">
        <f>IF(D58="L",1,0)</f>
        <v/>
      </c>
    </row>
    <row r="59">
      <c r="A59" s="11">
        <f>IF($B$8="","",$B$8+48)</f>
        <v/>
      </c>
      <c r="B59" s="12">
        <f>IF(A59="","",TEXT(A59,"ddd"))</f>
        <v/>
      </c>
      <c r="C59" s="13" t="inlineStr"/>
      <c r="D59" s="12" t="inlineStr"/>
      <c r="E59" s="13" t="inlineStr"/>
      <c r="F59" s="12">
        <f>IF(D59="P",1,0)</f>
        <v/>
      </c>
      <c r="G59" s="12">
        <f>IF(D59="A",1,0)</f>
        <v/>
      </c>
      <c r="H59" s="12">
        <f>IF(D59="L",1,0)</f>
        <v/>
      </c>
    </row>
    <row r="60">
      <c r="A60" s="11">
        <f>IF($B$8="","",$B$8+49)</f>
        <v/>
      </c>
      <c r="B60" s="12">
        <f>IF(A60="","",TEXT(A60,"ddd"))</f>
        <v/>
      </c>
      <c r="C60" s="13" t="inlineStr"/>
      <c r="D60" s="12" t="inlineStr"/>
      <c r="E60" s="13" t="inlineStr"/>
      <c r="F60" s="12">
        <f>IF(D60="P",1,0)</f>
        <v/>
      </c>
      <c r="G60" s="12">
        <f>IF(D60="A",1,0)</f>
        <v/>
      </c>
      <c r="H60" s="12">
        <f>IF(D60="L",1,0)</f>
        <v/>
      </c>
    </row>
    <row r="61">
      <c r="A61" s="11">
        <f>IF($B$8="","",$B$8+50)</f>
        <v/>
      </c>
      <c r="B61" s="12">
        <f>IF(A61="","",TEXT(A61,"ddd"))</f>
        <v/>
      </c>
      <c r="C61" s="13" t="inlineStr"/>
      <c r="D61" s="12" t="inlineStr"/>
      <c r="E61" s="13" t="inlineStr"/>
      <c r="F61" s="12">
        <f>IF(D61="P",1,0)</f>
        <v/>
      </c>
      <c r="G61" s="12">
        <f>IF(D61="A",1,0)</f>
        <v/>
      </c>
      <c r="H61" s="12">
        <f>IF(D61="L",1,0)</f>
        <v/>
      </c>
    </row>
    <row r="62">
      <c r="A62" s="11">
        <f>IF($B$8="","",$B$8+51)</f>
        <v/>
      </c>
      <c r="B62" s="12">
        <f>IF(A62="","",TEXT(A62,"ddd"))</f>
        <v/>
      </c>
      <c r="C62" s="13" t="inlineStr"/>
      <c r="D62" s="12" t="inlineStr"/>
      <c r="E62" s="13" t="inlineStr"/>
      <c r="F62" s="12">
        <f>IF(D62="P",1,0)</f>
        <v/>
      </c>
      <c r="G62" s="12">
        <f>IF(D62="A",1,0)</f>
        <v/>
      </c>
      <c r="H62" s="12">
        <f>IF(D62="L",1,0)</f>
        <v/>
      </c>
    </row>
    <row r="63">
      <c r="A63" s="11">
        <f>IF($B$8="","",$B$8+52)</f>
        <v/>
      </c>
      <c r="B63" s="12">
        <f>IF(A63="","",TEXT(A63,"ddd"))</f>
        <v/>
      </c>
      <c r="C63" s="13" t="inlineStr"/>
      <c r="D63" s="12" t="inlineStr"/>
      <c r="E63" s="13" t="inlineStr"/>
      <c r="F63" s="12">
        <f>IF(D63="P",1,0)</f>
        <v/>
      </c>
      <c r="G63" s="12">
        <f>IF(D63="A",1,0)</f>
        <v/>
      </c>
      <c r="H63" s="12">
        <f>IF(D63="L",1,0)</f>
        <v/>
      </c>
    </row>
    <row r="64">
      <c r="A64" s="11">
        <f>IF($B$8="","",$B$8+53)</f>
        <v/>
      </c>
      <c r="B64" s="12">
        <f>IF(A64="","",TEXT(A64,"ddd"))</f>
        <v/>
      </c>
      <c r="C64" s="13" t="inlineStr"/>
      <c r="D64" s="12" t="inlineStr"/>
      <c r="E64" s="13" t="inlineStr"/>
      <c r="F64" s="12">
        <f>IF(D64="P",1,0)</f>
        <v/>
      </c>
      <c r="G64" s="12">
        <f>IF(D64="A",1,0)</f>
        <v/>
      </c>
      <c r="H64" s="12">
        <f>IF(D64="L",1,0)</f>
        <v/>
      </c>
    </row>
    <row r="65">
      <c r="A65" s="11">
        <f>IF($B$8="","",$B$8+54)</f>
        <v/>
      </c>
      <c r="B65" s="12">
        <f>IF(A65="","",TEXT(A65,"ddd"))</f>
        <v/>
      </c>
      <c r="C65" s="13" t="inlineStr"/>
      <c r="D65" s="12" t="inlineStr"/>
      <c r="E65" s="13" t="inlineStr"/>
      <c r="F65" s="12">
        <f>IF(D65="P",1,0)</f>
        <v/>
      </c>
      <c r="G65" s="12">
        <f>IF(D65="A",1,0)</f>
        <v/>
      </c>
      <c r="H65" s="12">
        <f>IF(D65="L",1,0)</f>
        <v/>
      </c>
    </row>
    <row r="66">
      <c r="A66" s="11">
        <f>IF($B$8="","",$B$8+55)</f>
        <v/>
      </c>
      <c r="B66" s="12">
        <f>IF(A66="","",TEXT(A66,"ddd"))</f>
        <v/>
      </c>
      <c r="C66" s="13" t="inlineStr"/>
      <c r="D66" s="12" t="inlineStr"/>
      <c r="E66" s="13" t="inlineStr"/>
      <c r="F66" s="12">
        <f>IF(D66="P",1,0)</f>
        <v/>
      </c>
      <c r="G66" s="12">
        <f>IF(D66="A",1,0)</f>
        <v/>
      </c>
      <c r="H66" s="12">
        <f>IF(D66="L",1,0)</f>
        <v/>
      </c>
    </row>
    <row r="67">
      <c r="A67" s="11">
        <f>IF($B$8="","",$B$8+56)</f>
        <v/>
      </c>
      <c r="B67" s="12">
        <f>IF(A67="","",TEXT(A67,"ddd"))</f>
        <v/>
      </c>
      <c r="C67" s="13" t="inlineStr"/>
      <c r="D67" s="12" t="inlineStr"/>
      <c r="E67" s="13" t="inlineStr"/>
      <c r="F67" s="12">
        <f>IF(D67="P",1,0)</f>
        <v/>
      </c>
      <c r="G67" s="12">
        <f>IF(D67="A",1,0)</f>
        <v/>
      </c>
      <c r="H67" s="12">
        <f>IF(D67="L",1,0)</f>
        <v/>
      </c>
    </row>
    <row r="68">
      <c r="A68" s="11">
        <f>IF($B$8="","",$B$8+57)</f>
        <v/>
      </c>
      <c r="B68" s="12">
        <f>IF(A68="","",TEXT(A68,"ddd"))</f>
        <v/>
      </c>
      <c r="C68" s="13" t="inlineStr"/>
      <c r="D68" s="12" t="inlineStr"/>
      <c r="E68" s="13" t="inlineStr"/>
      <c r="F68" s="12">
        <f>IF(D68="P",1,0)</f>
        <v/>
      </c>
      <c r="G68" s="12">
        <f>IF(D68="A",1,0)</f>
        <v/>
      </c>
      <c r="H68" s="12">
        <f>IF(D68="L",1,0)</f>
        <v/>
      </c>
    </row>
    <row r="69">
      <c r="A69" s="11">
        <f>IF($B$8="","",$B$8+58)</f>
        <v/>
      </c>
      <c r="B69" s="12">
        <f>IF(A69="","",TEXT(A69,"ddd"))</f>
        <v/>
      </c>
      <c r="C69" s="13" t="inlineStr"/>
      <c r="D69" s="12" t="inlineStr"/>
      <c r="E69" s="13" t="inlineStr"/>
      <c r="F69" s="12">
        <f>IF(D69="P",1,0)</f>
        <v/>
      </c>
      <c r="G69" s="12">
        <f>IF(D69="A",1,0)</f>
        <v/>
      </c>
      <c r="H69" s="12">
        <f>IF(D69="L",1,0)</f>
        <v/>
      </c>
    </row>
    <row r="70">
      <c r="A70" s="11">
        <f>IF($B$8="","",$B$8+59)</f>
        <v/>
      </c>
      <c r="B70" s="12">
        <f>IF(A70="","",TEXT(A70,"ddd"))</f>
        <v/>
      </c>
      <c r="C70" s="13" t="inlineStr"/>
      <c r="D70" s="12" t="inlineStr"/>
      <c r="E70" s="13" t="inlineStr"/>
      <c r="F70" s="12">
        <f>IF(D70="P",1,0)</f>
        <v/>
      </c>
      <c r="G70" s="12">
        <f>IF(D70="A",1,0)</f>
        <v/>
      </c>
      <c r="H70" s="12">
        <f>IF(D70="L",1,0)</f>
        <v/>
      </c>
    </row>
    <row r="71">
      <c r="A71" s="11">
        <f>IF($B$8="","",$B$8+60)</f>
        <v/>
      </c>
      <c r="B71" s="12">
        <f>IF(A71="","",TEXT(A71,"ddd"))</f>
        <v/>
      </c>
      <c r="C71" s="13" t="inlineStr"/>
      <c r="D71" s="12" t="inlineStr"/>
      <c r="E71" s="13" t="inlineStr"/>
      <c r="F71" s="12">
        <f>IF(D71="P",1,0)</f>
        <v/>
      </c>
      <c r="G71" s="12">
        <f>IF(D71="A",1,0)</f>
        <v/>
      </c>
      <c r="H71" s="12">
        <f>IF(D71="L",1,0)</f>
        <v/>
      </c>
    </row>
    <row r="72">
      <c r="A72" s="11">
        <f>IF($B$8="","",$B$8+61)</f>
        <v/>
      </c>
      <c r="B72" s="12">
        <f>IF(A72="","",TEXT(A72,"ddd"))</f>
        <v/>
      </c>
      <c r="C72" s="13" t="inlineStr"/>
      <c r="D72" s="12" t="inlineStr"/>
      <c r="E72" s="13" t="inlineStr"/>
      <c r="F72" s="12">
        <f>IF(D72="P",1,0)</f>
        <v/>
      </c>
      <c r="G72" s="12">
        <f>IF(D72="A",1,0)</f>
        <v/>
      </c>
      <c r="H72" s="12">
        <f>IF(D72="L",1,0)</f>
        <v/>
      </c>
    </row>
    <row r="73">
      <c r="A73" s="11">
        <f>IF($B$8="","",$B$8+62)</f>
        <v/>
      </c>
      <c r="B73" s="12">
        <f>IF(A73="","",TEXT(A73,"ddd"))</f>
        <v/>
      </c>
      <c r="C73" s="13" t="inlineStr"/>
      <c r="D73" s="12" t="inlineStr"/>
      <c r="E73" s="13" t="inlineStr"/>
      <c r="F73" s="12">
        <f>IF(D73="P",1,0)</f>
        <v/>
      </c>
      <c r="G73" s="12">
        <f>IF(D73="A",1,0)</f>
        <v/>
      </c>
      <c r="H73" s="12">
        <f>IF(D73="L",1,0)</f>
        <v/>
      </c>
    </row>
    <row r="74">
      <c r="A74" s="11">
        <f>IF($B$8="","",$B$8+63)</f>
        <v/>
      </c>
      <c r="B74" s="12">
        <f>IF(A74="","",TEXT(A74,"ddd"))</f>
        <v/>
      </c>
      <c r="C74" s="13" t="inlineStr"/>
      <c r="D74" s="12" t="inlineStr"/>
      <c r="E74" s="13" t="inlineStr"/>
      <c r="F74" s="12">
        <f>IF(D74="P",1,0)</f>
        <v/>
      </c>
      <c r="G74" s="12">
        <f>IF(D74="A",1,0)</f>
        <v/>
      </c>
      <c r="H74" s="12">
        <f>IF(D74="L",1,0)</f>
        <v/>
      </c>
    </row>
    <row r="75">
      <c r="A75" s="11">
        <f>IF($B$8="","",$B$8+64)</f>
        <v/>
      </c>
      <c r="B75" s="12">
        <f>IF(A75="","",TEXT(A75,"ddd"))</f>
        <v/>
      </c>
      <c r="C75" s="13" t="inlineStr"/>
      <c r="D75" s="12" t="inlineStr"/>
      <c r="E75" s="13" t="inlineStr"/>
      <c r="F75" s="12">
        <f>IF(D75="P",1,0)</f>
        <v/>
      </c>
      <c r="G75" s="12">
        <f>IF(D75="A",1,0)</f>
        <v/>
      </c>
      <c r="H75" s="12">
        <f>IF(D75="L",1,0)</f>
        <v/>
      </c>
    </row>
    <row r="76">
      <c r="A76" s="11">
        <f>IF($B$8="","",$B$8+65)</f>
        <v/>
      </c>
      <c r="B76" s="12">
        <f>IF(A76="","",TEXT(A76,"ddd"))</f>
        <v/>
      </c>
      <c r="C76" s="13" t="inlineStr"/>
      <c r="D76" s="12" t="inlineStr"/>
      <c r="E76" s="13" t="inlineStr"/>
      <c r="F76" s="12">
        <f>IF(D76="P",1,0)</f>
        <v/>
      </c>
      <c r="G76" s="12">
        <f>IF(D76="A",1,0)</f>
        <v/>
      </c>
      <c r="H76" s="12">
        <f>IF(D76="L",1,0)</f>
        <v/>
      </c>
    </row>
    <row r="77">
      <c r="A77" s="11">
        <f>IF($B$8="","",$B$8+66)</f>
        <v/>
      </c>
      <c r="B77" s="12">
        <f>IF(A77="","",TEXT(A77,"ddd"))</f>
        <v/>
      </c>
      <c r="C77" s="13" t="inlineStr"/>
      <c r="D77" s="12" t="inlineStr"/>
      <c r="E77" s="13" t="inlineStr"/>
      <c r="F77" s="12">
        <f>IF(D77="P",1,0)</f>
        <v/>
      </c>
      <c r="G77" s="12">
        <f>IF(D77="A",1,0)</f>
        <v/>
      </c>
      <c r="H77" s="12">
        <f>IF(D77="L",1,0)</f>
        <v/>
      </c>
    </row>
    <row r="78">
      <c r="A78" s="11">
        <f>IF($B$8="","",$B$8+67)</f>
        <v/>
      </c>
      <c r="B78" s="12">
        <f>IF(A78="","",TEXT(A78,"ddd"))</f>
        <v/>
      </c>
      <c r="C78" s="13" t="inlineStr"/>
      <c r="D78" s="12" t="inlineStr"/>
      <c r="E78" s="13" t="inlineStr"/>
      <c r="F78" s="12">
        <f>IF(D78="P",1,0)</f>
        <v/>
      </c>
      <c r="G78" s="12">
        <f>IF(D78="A",1,0)</f>
        <v/>
      </c>
      <c r="H78" s="12">
        <f>IF(D78="L",1,0)</f>
        <v/>
      </c>
    </row>
    <row r="79">
      <c r="A79" s="11">
        <f>IF($B$8="","",$B$8+68)</f>
        <v/>
      </c>
      <c r="B79" s="12">
        <f>IF(A79="","",TEXT(A79,"ddd"))</f>
        <v/>
      </c>
      <c r="C79" s="13" t="inlineStr"/>
      <c r="D79" s="12" t="inlineStr"/>
      <c r="E79" s="13" t="inlineStr"/>
      <c r="F79" s="12">
        <f>IF(D79="P",1,0)</f>
        <v/>
      </c>
      <c r="G79" s="12">
        <f>IF(D79="A",1,0)</f>
        <v/>
      </c>
      <c r="H79" s="12">
        <f>IF(D79="L",1,0)</f>
        <v/>
      </c>
    </row>
    <row r="80">
      <c r="A80" s="11">
        <f>IF($B$8="","",$B$8+69)</f>
        <v/>
      </c>
      <c r="B80" s="12">
        <f>IF(A80="","",TEXT(A80,"ddd"))</f>
        <v/>
      </c>
      <c r="C80" s="13" t="inlineStr"/>
      <c r="D80" s="12" t="inlineStr"/>
      <c r="E80" s="13" t="inlineStr"/>
      <c r="F80" s="12">
        <f>IF(D80="P",1,0)</f>
        <v/>
      </c>
      <c r="G80" s="12">
        <f>IF(D80="A",1,0)</f>
        <v/>
      </c>
      <c r="H80" s="12">
        <f>IF(D80="L",1,0)</f>
        <v/>
      </c>
    </row>
    <row r="81">
      <c r="A81" s="11">
        <f>IF($B$8="","",$B$8+70)</f>
        <v/>
      </c>
      <c r="B81" s="12">
        <f>IF(A81="","",TEXT(A81,"ddd"))</f>
        <v/>
      </c>
      <c r="C81" s="13" t="inlineStr"/>
      <c r="D81" s="12" t="inlineStr"/>
      <c r="E81" s="13" t="inlineStr"/>
      <c r="F81" s="12">
        <f>IF(D81="P",1,0)</f>
        <v/>
      </c>
      <c r="G81" s="12">
        <f>IF(D81="A",1,0)</f>
        <v/>
      </c>
      <c r="H81" s="12">
        <f>IF(D81="L",1,0)</f>
        <v/>
      </c>
    </row>
    <row r="82">
      <c r="A82" s="11">
        <f>IF($B$8="","",$B$8+71)</f>
        <v/>
      </c>
      <c r="B82" s="12">
        <f>IF(A82="","",TEXT(A82,"ddd"))</f>
        <v/>
      </c>
      <c r="C82" s="13" t="inlineStr"/>
      <c r="D82" s="12" t="inlineStr"/>
      <c r="E82" s="13" t="inlineStr"/>
      <c r="F82" s="12">
        <f>IF(D82="P",1,0)</f>
        <v/>
      </c>
      <c r="G82" s="12">
        <f>IF(D82="A",1,0)</f>
        <v/>
      </c>
      <c r="H82" s="12">
        <f>IF(D82="L",1,0)</f>
        <v/>
      </c>
    </row>
    <row r="83">
      <c r="A83" s="11">
        <f>IF($B$8="","",$B$8+72)</f>
        <v/>
      </c>
      <c r="B83" s="12">
        <f>IF(A83="","",TEXT(A83,"ddd"))</f>
        <v/>
      </c>
      <c r="C83" s="13" t="inlineStr"/>
      <c r="D83" s="12" t="inlineStr"/>
      <c r="E83" s="13" t="inlineStr"/>
      <c r="F83" s="12">
        <f>IF(D83="P",1,0)</f>
        <v/>
      </c>
      <c r="G83" s="12">
        <f>IF(D83="A",1,0)</f>
        <v/>
      </c>
      <c r="H83" s="12">
        <f>IF(D83="L",1,0)</f>
        <v/>
      </c>
    </row>
    <row r="84">
      <c r="A84" s="11">
        <f>IF($B$8="","",$B$8+73)</f>
        <v/>
      </c>
      <c r="B84" s="12">
        <f>IF(A84="","",TEXT(A84,"ddd"))</f>
        <v/>
      </c>
      <c r="C84" s="13" t="inlineStr"/>
      <c r="D84" s="12" t="inlineStr"/>
      <c r="E84" s="13" t="inlineStr"/>
      <c r="F84" s="12">
        <f>IF(D84="P",1,0)</f>
        <v/>
      </c>
      <c r="G84" s="12">
        <f>IF(D84="A",1,0)</f>
        <v/>
      </c>
      <c r="H84" s="12">
        <f>IF(D84="L",1,0)</f>
        <v/>
      </c>
    </row>
    <row r="85">
      <c r="A85" s="11">
        <f>IF($B$8="","",$B$8+74)</f>
        <v/>
      </c>
      <c r="B85" s="12">
        <f>IF(A85="","",TEXT(A85,"ddd"))</f>
        <v/>
      </c>
      <c r="C85" s="13" t="inlineStr"/>
      <c r="D85" s="12" t="inlineStr"/>
      <c r="E85" s="13" t="inlineStr"/>
      <c r="F85" s="12">
        <f>IF(D85="P",1,0)</f>
        <v/>
      </c>
      <c r="G85" s="12">
        <f>IF(D85="A",1,0)</f>
        <v/>
      </c>
      <c r="H85" s="12">
        <f>IF(D85="L",1,0)</f>
        <v/>
      </c>
    </row>
    <row r="86">
      <c r="A86" s="11">
        <f>IF($B$8="","",$B$8+75)</f>
        <v/>
      </c>
      <c r="B86" s="12">
        <f>IF(A86="","",TEXT(A86,"ddd"))</f>
        <v/>
      </c>
      <c r="C86" s="13" t="inlineStr"/>
      <c r="D86" s="12" t="inlineStr"/>
      <c r="E86" s="13" t="inlineStr"/>
      <c r="F86" s="12">
        <f>IF(D86="P",1,0)</f>
        <v/>
      </c>
      <c r="G86" s="12">
        <f>IF(D86="A",1,0)</f>
        <v/>
      </c>
      <c r="H86" s="12">
        <f>IF(D86="L",1,0)</f>
        <v/>
      </c>
    </row>
    <row r="87">
      <c r="A87" s="11">
        <f>IF($B$8="","",$B$8+76)</f>
        <v/>
      </c>
      <c r="B87" s="12">
        <f>IF(A87="","",TEXT(A87,"ddd"))</f>
        <v/>
      </c>
      <c r="C87" s="13" t="inlineStr"/>
      <c r="D87" s="12" t="inlineStr"/>
      <c r="E87" s="13" t="inlineStr"/>
      <c r="F87" s="12">
        <f>IF(D87="P",1,0)</f>
        <v/>
      </c>
      <c r="G87" s="12">
        <f>IF(D87="A",1,0)</f>
        <v/>
      </c>
      <c r="H87" s="12">
        <f>IF(D87="L",1,0)</f>
        <v/>
      </c>
    </row>
    <row r="88">
      <c r="A88" s="11">
        <f>IF($B$8="","",$B$8+77)</f>
        <v/>
      </c>
      <c r="B88" s="12">
        <f>IF(A88="","",TEXT(A88,"ddd"))</f>
        <v/>
      </c>
      <c r="C88" s="13" t="inlineStr"/>
      <c r="D88" s="12" t="inlineStr"/>
      <c r="E88" s="13" t="inlineStr"/>
      <c r="F88" s="12">
        <f>IF(D88="P",1,0)</f>
        <v/>
      </c>
      <c r="G88" s="12">
        <f>IF(D88="A",1,0)</f>
        <v/>
      </c>
      <c r="H88" s="12">
        <f>IF(D88="L",1,0)</f>
        <v/>
      </c>
    </row>
    <row r="89">
      <c r="A89" s="11">
        <f>IF($B$8="","",$B$8+78)</f>
        <v/>
      </c>
      <c r="B89" s="12">
        <f>IF(A89="","",TEXT(A89,"ddd"))</f>
        <v/>
      </c>
      <c r="C89" s="13" t="inlineStr"/>
      <c r="D89" s="12" t="inlineStr"/>
      <c r="E89" s="13" t="inlineStr"/>
      <c r="F89" s="12">
        <f>IF(D89="P",1,0)</f>
        <v/>
      </c>
      <c r="G89" s="12">
        <f>IF(D89="A",1,0)</f>
        <v/>
      </c>
      <c r="H89" s="12">
        <f>IF(D89="L",1,0)</f>
        <v/>
      </c>
    </row>
    <row r="90">
      <c r="A90" s="11">
        <f>IF($B$8="","",$B$8+79)</f>
        <v/>
      </c>
      <c r="B90" s="12">
        <f>IF(A90="","",TEXT(A90,"ddd"))</f>
        <v/>
      </c>
      <c r="C90" s="13" t="inlineStr"/>
      <c r="D90" s="12" t="inlineStr"/>
      <c r="E90" s="13" t="inlineStr"/>
      <c r="F90" s="12">
        <f>IF(D90="P",1,0)</f>
        <v/>
      </c>
      <c r="G90" s="12">
        <f>IF(D90="A",1,0)</f>
        <v/>
      </c>
      <c r="H90" s="12">
        <f>IF(D90="L",1,0)</f>
        <v/>
      </c>
    </row>
    <row r="91">
      <c r="A91" s="11">
        <f>IF($B$8="","",$B$8+80)</f>
        <v/>
      </c>
      <c r="B91" s="12">
        <f>IF(A91="","",TEXT(A91,"ddd"))</f>
        <v/>
      </c>
      <c r="C91" s="13" t="inlineStr"/>
      <c r="D91" s="12" t="inlineStr"/>
      <c r="E91" s="13" t="inlineStr"/>
      <c r="F91" s="12">
        <f>IF(D91="P",1,0)</f>
        <v/>
      </c>
      <c r="G91" s="12">
        <f>IF(D91="A",1,0)</f>
        <v/>
      </c>
      <c r="H91" s="12">
        <f>IF(D91="L",1,0)</f>
        <v/>
      </c>
    </row>
    <row r="92">
      <c r="A92" s="11">
        <f>IF($B$8="","",$B$8+81)</f>
        <v/>
      </c>
      <c r="B92" s="12">
        <f>IF(A92="","",TEXT(A92,"ddd"))</f>
        <v/>
      </c>
      <c r="C92" s="13" t="inlineStr"/>
      <c r="D92" s="12" t="inlineStr"/>
      <c r="E92" s="13" t="inlineStr"/>
      <c r="F92" s="12">
        <f>IF(D92="P",1,0)</f>
        <v/>
      </c>
      <c r="G92" s="12">
        <f>IF(D92="A",1,0)</f>
        <v/>
      </c>
      <c r="H92" s="12">
        <f>IF(D92="L",1,0)</f>
        <v/>
      </c>
    </row>
    <row r="93">
      <c r="A93" s="11">
        <f>IF($B$8="","",$B$8+82)</f>
        <v/>
      </c>
      <c r="B93" s="12">
        <f>IF(A93="","",TEXT(A93,"ddd"))</f>
        <v/>
      </c>
      <c r="C93" s="13" t="inlineStr"/>
      <c r="D93" s="12" t="inlineStr"/>
      <c r="E93" s="13" t="inlineStr"/>
      <c r="F93" s="12">
        <f>IF(D93="P",1,0)</f>
        <v/>
      </c>
      <c r="G93" s="12">
        <f>IF(D93="A",1,0)</f>
        <v/>
      </c>
      <c r="H93" s="12">
        <f>IF(D93="L",1,0)</f>
        <v/>
      </c>
    </row>
    <row r="94">
      <c r="A94" s="11">
        <f>IF($B$8="","",$B$8+83)</f>
        <v/>
      </c>
      <c r="B94" s="12">
        <f>IF(A94="","",TEXT(A94,"ddd"))</f>
        <v/>
      </c>
      <c r="C94" s="13" t="inlineStr"/>
      <c r="D94" s="12" t="inlineStr"/>
      <c r="E94" s="13" t="inlineStr"/>
      <c r="F94" s="12">
        <f>IF(D94="P",1,0)</f>
        <v/>
      </c>
      <c r="G94" s="12">
        <f>IF(D94="A",1,0)</f>
        <v/>
      </c>
      <c r="H94" s="12">
        <f>IF(D94="L",1,0)</f>
        <v/>
      </c>
    </row>
    <row r="95">
      <c r="A95" s="11">
        <f>IF($B$8="","",$B$8+84)</f>
        <v/>
      </c>
      <c r="B95" s="12">
        <f>IF(A95="","",TEXT(A95,"ddd"))</f>
        <v/>
      </c>
      <c r="C95" s="13" t="inlineStr"/>
      <c r="D95" s="12" t="inlineStr"/>
      <c r="E95" s="13" t="inlineStr"/>
      <c r="F95" s="12">
        <f>IF(D95="P",1,0)</f>
        <v/>
      </c>
      <c r="G95" s="12">
        <f>IF(D95="A",1,0)</f>
        <v/>
      </c>
      <c r="H95" s="12">
        <f>IF(D95="L",1,0)</f>
        <v/>
      </c>
    </row>
    <row r="96">
      <c r="A96" s="11">
        <f>IF($B$8="","",$B$8+85)</f>
        <v/>
      </c>
      <c r="B96" s="12">
        <f>IF(A96="","",TEXT(A96,"ddd"))</f>
        <v/>
      </c>
      <c r="C96" s="13" t="inlineStr"/>
      <c r="D96" s="12" t="inlineStr"/>
      <c r="E96" s="13" t="inlineStr"/>
      <c r="F96" s="12">
        <f>IF(D96="P",1,0)</f>
        <v/>
      </c>
      <c r="G96" s="12">
        <f>IF(D96="A",1,0)</f>
        <v/>
      </c>
      <c r="H96" s="12">
        <f>IF(D96="L",1,0)</f>
        <v/>
      </c>
    </row>
    <row r="97">
      <c r="A97" s="11">
        <f>IF($B$8="","",$B$8+86)</f>
        <v/>
      </c>
      <c r="B97" s="12">
        <f>IF(A97="","",TEXT(A97,"ddd"))</f>
        <v/>
      </c>
      <c r="C97" s="13" t="inlineStr"/>
      <c r="D97" s="12" t="inlineStr"/>
      <c r="E97" s="13" t="inlineStr"/>
      <c r="F97" s="12">
        <f>IF(D97="P",1,0)</f>
        <v/>
      </c>
      <c r="G97" s="12">
        <f>IF(D97="A",1,0)</f>
        <v/>
      </c>
      <c r="H97" s="12">
        <f>IF(D97="L",1,0)</f>
        <v/>
      </c>
    </row>
    <row r="98">
      <c r="A98" s="11">
        <f>IF($B$8="","",$B$8+87)</f>
        <v/>
      </c>
      <c r="B98" s="12">
        <f>IF(A98="","",TEXT(A98,"ddd"))</f>
        <v/>
      </c>
      <c r="C98" s="13" t="inlineStr"/>
      <c r="D98" s="12" t="inlineStr"/>
      <c r="E98" s="13" t="inlineStr"/>
      <c r="F98" s="12">
        <f>IF(D98="P",1,0)</f>
        <v/>
      </c>
      <c r="G98" s="12">
        <f>IF(D98="A",1,0)</f>
        <v/>
      </c>
      <c r="H98" s="12">
        <f>IF(D98="L",1,0)</f>
        <v/>
      </c>
    </row>
    <row r="99">
      <c r="A99" s="11">
        <f>IF($B$8="","",$B$8+88)</f>
        <v/>
      </c>
      <c r="B99" s="12">
        <f>IF(A99="","",TEXT(A99,"ddd"))</f>
        <v/>
      </c>
      <c r="C99" s="13" t="inlineStr"/>
      <c r="D99" s="12" t="inlineStr"/>
      <c r="E99" s="13" t="inlineStr"/>
      <c r="F99" s="12">
        <f>IF(D99="P",1,0)</f>
        <v/>
      </c>
      <c r="G99" s="12">
        <f>IF(D99="A",1,0)</f>
        <v/>
      </c>
      <c r="H99" s="12">
        <f>IF(D99="L",1,0)</f>
        <v/>
      </c>
    </row>
    <row r="100">
      <c r="A100" s="11">
        <f>IF($B$8="","",$B$8+89)</f>
        <v/>
      </c>
      <c r="B100" s="12">
        <f>IF(A100="","",TEXT(A100,"ddd"))</f>
        <v/>
      </c>
      <c r="C100" s="13" t="inlineStr"/>
      <c r="D100" s="12" t="inlineStr"/>
      <c r="E100" s="13" t="inlineStr"/>
      <c r="F100" s="12">
        <f>IF(D100="P",1,0)</f>
        <v/>
      </c>
      <c r="G100" s="12">
        <f>IF(D100="A",1,0)</f>
        <v/>
      </c>
      <c r="H100" s="12">
        <f>IF(D100="L",1,0)</f>
        <v/>
      </c>
    </row>
    <row r="101">
      <c r="A101" s="11">
        <f>IF($B$8="","",$B$8+90)</f>
        <v/>
      </c>
      <c r="B101" s="12">
        <f>IF(A101="","",TEXT(A101,"ddd"))</f>
        <v/>
      </c>
      <c r="C101" s="13" t="inlineStr"/>
      <c r="D101" s="12" t="inlineStr"/>
      <c r="E101" s="13" t="inlineStr"/>
      <c r="F101" s="12">
        <f>IF(D101="P",1,0)</f>
        <v/>
      </c>
      <c r="G101" s="12">
        <f>IF(D101="A",1,0)</f>
        <v/>
      </c>
      <c r="H101" s="12">
        <f>IF(D101="L",1,0)</f>
        <v/>
      </c>
    </row>
    <row r="102">
      <c r="A102" s="11">
        <f>IF($B$8="","",$B$8+91)</f>
        <v/>
      </c>
      <c r="B102" s="12">
        <f>IF(A102="","",TEXT(A102,"ddd"))</f>
        <v/>
      </c>
      <c r="C102" s="13" t="inlineStr"/>
      <c r="D102" s="12" t="inlineStr"/>
      <c r="E102" s="13" t="inlineStr"/>
      <c r="F102" s="12">
        <f>IF(D102="P",1,0)</f>
        <v/>
      </c>
      <c r="G102" s="12">
        <f>IF(D102="A",1,0)</f>
        <v/>
      </c>
      <c r="H102" s="12">
        <f>IF(D102="L",1,0)</f>
        <v/>
      </c>
    </row>
    <row r="103">
      <c r="A103" s="11">
        <f>IF($B$8="","",$B$8+92)</f>
        <v/>
      </c>
      <c r="B103" s="12">
        <f>IF(A103="","",TEXT(A103,"ddd"))</f>
        <v/>
      </c>
      <c r="C103" s="13" t="inlineStr"/>
      <c r="D103" s="12" t="inlineStr"/>
      <c r="E103" s="13" t="inlineStr"/>
      <c r="F103" s="12">
        <f>IF(D103="P",1,0)</f>
        <v/>
      </c>
      <c r="G103" s="12">
        <f>IF(D103="A",1,0)</f>
        <v/>
      </c>
      <c r="H103" s="12">
        <f>IF(D103="L",1,0)</f>
        <v/>
      </c>
    </row>
    <row r="104">
      <c r="A104" s="11">
        <f>IF($B$8="","",$B$8+93)</f>
        <v/>
      </c>
      <c r="B104" s="12">
        <f>IF(A104="","",TEXT(A104,"ddd"))</f>
        <v/>
      </c>
      <c r="C104" s="13" t="inlineStr"/>
      <c r="D104" s="12" t="inlineStr"/>
      <c r="E104" s="13" t="inlineStr"/>
      <c r="F104" s="12">
        <f>IF(D104="P",1,0)</f>
        <v/>
      </c>
      <c r="G104" s="12">
        <f>IF(D104="A",1,0)</f>
        <v/>
      </c>
      <c r="H104" s="12">
        <f>IF(D104="L",1,0)</f>
        <v/>
      </c>
    </row>
    <row r="105">
      <c r="A105" s="11">
        <f>IF($B$8="","",$B$8+94)</f>
        <v/>
      </c>
      <c r="B105" s="12">
        <f>IF(A105="","",TEXT(A105,"ddd"))</f>
        <v/>
      </c>
      <c r="C105" s="13" t="inlineStr"/>
      <c r="D105" s="12" t="inlineStr"/>
      <c r="E105" s="13" t="inlineStr"/>
      <c r="F105" s="12">
        <f>IF(D105="P",1,0)</f>
        <v/>
      </c>
      <c r="G105" s="12">
        <f>IF(D105="A",1,0)</f>
        <v/>
      </c>
      <c r="H105" s="12">
        <f>IF(D105="L",1,0)</f>
        <v/>
      </c>
    </row>
    <row r="106">
      <c r="A106" s="11">
        <f>IF($B$8="","",$B$8+95)</f>
        <v/>
      </c>
      <c r="B106" s="12">
        <f>IF(A106="","",TEXT(A106,"ddd"))</f>
        <v/>
      </c>
      <c r="C106" s="13" t="inlineStr"/>
      <c r="D106" s="12" t="inlineStr"/>
      <c r="E106" s="13" t="inlineStr"/>
      <c r="F106" s="12">
        <f>IF(D106="P",1,0)</f>
        <v/>
      </c>
      <c r="G106" s="12">
        <f>IF(D106="A",1,0)</f>
        <v/>
      </c>
      <c r="H106" s="12">
        <f>IF(D106="L",1,0)</f>
        <v/>
      </c>
    </row>
    <row r="107">
      <c r="A107" s="11">
        <f>IF($B$8="","",$B$8+96)</f>
        <v/>
      </c>
      <c r="B107" s="12">
        <f>IF(A107="","",TEXT(A107,"ddd"))</f>
        <v/>
      </c>
      <c r="C107" s="13" t="inlineStr"/>
      <c r="D107" s="12" t="inlineStr"/>
      <c r="E107" s="13" t="inlineStr"/>
      <c r="F107" s="12">
        <f>IF(D107="P",1,0)</f>
        <v/>
      </c>
      <c r="G107" s="12">
        <f>IF(D107="A",1,0)</f>
        <v/>
      </c>
      <c r="H107" s="12">
        <f>IF(D107="L",1,0)</f>
        <v/>
      </c>
    </row>
    <row r="108">
      <c r="A108" s="11">
        <f>IF($B$8="","",$B$8+97)</f>
        <v/>
      </c>
      <c r="B108" s="12">
        <f>IF(A108="","",TEXT(A108,"ddd"))</f>
        <v/>
      </c>
      <c r="C108" s="13" t="inlineStr"/>
      <c r="D108" s="12" t="inlineStr"/>
      <c r="E108" s="13" t="inlineStr"/>
      <c r="F108" s="12">
        <f>IF(D108="P",1,0)</f>
        <v/>
      </c>
      <c r="G108" s="12">
        <f>IF(D108="A",1,0)</f>
        <v/>
      </c>
      <c r="H108" s="12">
        <f>IF(D108="L",1,0)</f>
        <v/>
      </c>
    </row>
    <row r="109">
      <c r="A109" s="11">
        <f>IF($B$8="","",$B$8+98)</f>
        <v/>
      </c>
      <c r="B109" s="12">
        <f>IF(A109="","",TEXT(A109,"ddd"))</f>
        <v/>
      </c>
      <c r="C109" s="13" t="inlineStr"/>
      <c r="D109" s="12" t="inlineStr"/>
      <c r="E109" s="13" t="inlineStr"/>
      <c r="F109" s="12">
        <f>IF(D109="P",1,0)</f>
        <v/>
      </c>
      <c r="G109" s="12">
        <f>IF(D109="A",1,0)</f>
        <v/>
      </c>
      <c r="H109" s="12">
        <f>IF(D109="L",1,0)</f>
        <v/>
      </c>
    </row>
    <row r="110">
      <c r="A110" s="11">
        <f>IF($B$8="","",$B$8+99)</f>
        <v/>
      </c>
      <c r="B110" s="12">
        <f>IF(A110="","",TEXT(A110,"ddd"))</f>
        <v/>
      </c>
      <c r="C110" s="13" t="inlineStr"/>
      <c r="D110" s="12" t="inlineStr"/>
      <c r="E110" s="13" t="inlineStr"/>
      <c r="F110" s="12">
        <f>IF(D110="P",1,0)</f>
        <v/>
      </c>
      <c r="G110" s="12">
        <f>IF(D110="A",1,0)</f>
        <v/>
      </c>
      <c r="H110" s="12">
        <f>IF(D110="L",1,0)</f>
        <v/>
      </c>
    </row>
    <row r="111">
      <c r="A111" s="11">
        <f>IF($B$8="","",$B$8+100)</f>
        <v/>
      </c>
      <c r="B111" s="12">
        <f>IF(A111="","",TEXT(A111,"ddd"))</f>
        <v/>
      </c>
      <c r="C111" s="13" t="inlineStr"/>
      <c r="D111" s="12" t="inlineStr"/>
      <c r="E111" s="13" t="inlineStr"/>
      <c r="F111" s="12">
        <f>IF(D111="P",1,0)</f>
        <v/>
      </c>
      <c r="G111" s="12">
        <f>IF(D111="A",1,0)</f>
        <v/>
      </c>
      <c r="H111" s="12">
        <f>IF(D111="L",1,0)</f>
        <v/>
      </c>
    </row>
    <row r="112">
      <c r="A112" s="11">
        <f>IF($B$8="","",$B$8+101)</f>
        <v/>
      </c>
      <c r="B112" s="12">
        <f>IF(A112="","",TEXT(A112,"ddd"))</f>
        <v/>
      </c>
      <c r="C112" s="13" t="inlineStr"/>
      <c r="D112" s="12" t="inlineStr"/>
      <c r="E112" s="13" t="inlineStr"/>
      <c r="F112" s="12">
        <f>IF(D112="P",1,0)</f>
        <v/>
      </c>
      <c r="G112" s="12">
        <f>IF(D112="A",1,0)</f>
        <v/>
      </c>
      <c r="H112" s="12">
        <f>IF(D112="L",1,0)</f>
        <v/>
      </c>
    </row>
    <row r="113">
      <c r="A113" s="11">
        <f>IF($B$8="","",$B$8+102)</f>
        <v/>
      </c>
      <c r="B113" s="12">
        <f>IF(A113="","",TEXT(A113,"ddd"))</f>
        <v/>
      </c>
      <c r="C113" s="13" t="inlineStr"/>
      <c r="D113" s="12" t="inlineStr"/>
      <c r="E113" s="13" t="inlineStr"/>
      <c r="F113" s="12">
        <f>IF(D113="P",1,0)</f>
        <v/>
      </c>
      <c r="G113" s="12">
        <f>IF(D113="A",1,0)</f>
        <v/>
      </c>
      <c r="H113" s="12">
        <f>IF(D113="L",1,0)</f>
        <v/>
      </c>
    </row>
    <row r="114">
      <c r="A114" s="11">
        <f>IF($B$8="","",$B$8+103)</f>
        <v/>
      </c>
      <c r="B114" s="12">
        <f>IF(A114="","",TEXT(A114,"ddd"))</f>
        <v/>
      </c>
      <c r="C114" s="13" t="inlineStr"/>
      <c r="D114" s="12" t="inlineStr"/>
      <c r="E114" s="13" t="inlineStr"/>
      <c r="F114" s="12">
        <f>IF(D114="P",1,0)</f>
        <v/>
      </c>
      <c r="G114" s="12">
        <f>IF(D114="A",1,0)</f>
        <v/>
      </c>
      <c r="H114" s="12">
        <f>IF(D114="L",1,0)</f>
        <v/>
      </c>
    </row>
    <row r="115">
      <c r="A115" s="11">
        <f>IF($B$8="","",$B$8+104)</f>
        <v/>
      </c>
      <c r="B115" s="12">
        <f>IF(A115="","",TEXT(A115,"ddd"))</f>
        <v/>
      </c>
      <c r="C115" s="13" t="inlineStr"/>
      <c r="D115" s="12" t="inlineStr"/>
      <c r="E115" s="13" t="inlineStr"/>
      <c r="F115" s="12">
        <f>IF(D115="P",1,0)</f>
        <v/>
      </c>
      <c r="G115" s="12">
        <f>IF(D115="A",1,0)</f>
        <v/>
      </c>
      <c r="H115" s="12">
        <f>IF(D115="L",1,0)</f>
        <v/>
      </c>
    </row>
    <row r="116">
      <c r="A116" s="11">
        <f>IF($B$8="","",$B$8+105)</f>
        <v/>
      </c>
      <c r="B116" s="12">
        <f>IF(A116="","",TEXT(A116,"ddd"))</f>
        <v/>
      </c>
      <c r="C116" s="13" t="inlineStr"/>
      <c r="D116" s="12" t="inlineStr"/>
      <c r="E116" s="13" t="inlineStr"/>
      <c r="F116" s="12">
        <f>IF(D116="P",1,0)</f>
        <v/>
      </c>
      <c r="G116" s="12">
        <f>IF(D116="A",1,0)</f>
        <v/>
      </c>
      <c r="H116" s="12">
        <f>IF(D116="L",1,0)</f>
        <v/>
      </c>
    </row>
    <row r="117">
      <c r="A117" s="11">
        <f>IF($B$8="","",$B$8+106)</f>
        <v/>
      </c>
      <c r="B117" s="12">
        <f>IF(A117="","",TEXT(A117,"ddd"))</f>
        <v/>
      </c>
      <c r="C117" s="13" t="inlineStr"/>
      <c r="D117" s="12" t="inlineStr"/>
      <c r="E117" s="13" t="inlineStr"/>
      <c r="F117" s="12">
        <f>IF(D117="P",1,0)</f>
        <v/>
      </c>
      <c r="G117" s="12">
        <f>IF(D117="A",1,0)</f>
        <v/>
      </c>
      <c r="H117" s="12">
        <f>IF(D117="L",1,0)</f>
        <v/>
      </c>
    </row>
    <row r="118">
      <c r="A118" s="11">
        <f>IF($B$8="","",$B$8+107)</f>
        <v/>
      </c>
      <c r="B118" s="12">
        <f>IF(A118="","",TEXT(A118,"ddd"))</f>
        <v/>
      </c>
      <c r="C118" s="13" t="inlineStr"/>
      <c r="D118" s="12" t="inlineStr"/>
      <c r="E118" s="13" t="inlineStr"/>
      <c r="F118" s="12">
        <f>IF(D118="P",1,0)</f>
        <v/>
      </c>
      <c r="G118" s="12">
        <f>IF(D118="A",1,0)</f>
        <v/>
      </c>
      <c r="H118" s="12">
        <f>IF(D118="L",1,0)</f>
        <v/>
      </c>
    </row>
    <row r="119">
      <c r="A119" s="11">
        <f>IF($B$8="","",$B$8+108)</f>
        <v/>
      </c>
      <c r="B119" s="12">
        <f>IF(A119="","",TEXT(A119,"ddd"))</f>
        <v/>
      </c>
      <c r="C119" s="13" t="inlineStr"/>
      <c r="D119" s="12" t="inlineStr"/>
      <c r="E119" s="13" t="inlineStr"/>
      <c r="F119" s="12">
        <f>IF(D119="P",1,0)</f>
        <v/>
      </c>
      <c r="G119" s="12">
        <f>IF(D119="A",1,0)</f>
        <v/>
      </c>
      <c r="H119" s="12">
        <f>IF(D119="L",1,0)</f>
        <v/>
      </c>
    </row>
    <row r="120">
      <c r="A120" s="11">
        <f>IF($B$8="","",$B$8+109)</f>
        <v/>
      </c>
      <c r="B120" s="12">
        <f>IF(A120="","",TEXT(A120,"ddd"))</f>
        <v/>
      </c>
      <c r="C120" s="13" t="inlineStr"/>
      <c r="D120" s="12" t="inlineStr"/>
      <c r="E120" s="13" t="inlineStr"/>
      <c r="F120" s="12">
        <f>IF(D120="P",1,0)</f>
        <v/>
      </c>
      <c r="G120" s="12">
        <f>IF(D120="A",1,0)</f>
        <v/>
      </c>
      <c r="H120" s="12">
        <f>IF(D120="L",1,0)</f>
        <v/>
      </c>
    </row>
    <row r="121">
      <c r="A121" s="11">
        <f>IF($B$8="","",$B$8+110)</f>
        <v/>
      </c>
      <c r="B121" s="12">
        <f>IF(A121="","",TEXT(A121,"ddd"))</f>
        <v/>
      </c>
      <c r="C121" s="13" t="inlineStr"/>
      <c r="D121" s="12" t="inlineStr"/>
      <c r="E121" s="13" t="inlineStr"/>
      <c r="F121" s="12">
        <f>IF(D121="P",1,0)</f>
        <v/>
      </c>
      <c r="G121" s="12">
        <f>IF(D121="A",1,0)</f>
        <v/>
      </c>
      <c r="H121" s="12">
        <f>IF(D121="L",1,0)</f>
        <v/>
      </c>
    </row>
    <row r="122">
      <c r="A122" s="11">
        <f>IF($B$8="","",$B$8+111)</f>
        <v/>
      </c>
      <c r="B122" s="12">
        <f>IF(A122="","",TEXT(A122,"ddd"))</f>
        <v/>
      </c>
      <c r="C122" s="13" t="inlineStr"/>
      <c r="D122" s="12" t="inlineStr"/>
      <c r="E122" s="13" t="inlineStr"/>
      <c r="F122" s="12">
        <f>IF(D122="P",1,0)</f>
        <v/>
      </c>
      <c r="G122" s="12">
        <f>IF(D122="A",1,0)</f>
        <v/>
      </c>
      <c r="H122" s="12">
        <f>IF(D122="L",1,0)</f>
        <v/>
      </c>
    </row>
    <row r="123">
      <c r="A123" s="11">
        <f>IF($B$8="","",$B$8+112)</f>
        <v/>
      </c>
      <c r="B123" s="12">
        <f>IF(A123="","",TEXT(A123,"ddd"))</f>
        <v/>
      </c>
      <c r="C123" s="13" t="inlineStr"/>
      <c r="D123" s="12" t="inlineStr"/>
      <c r="E123" s="13" t="inlineStr"/>
      <c r="F123" s="12">
        <f>IF(D123="P",1,0)</f>
        <v/>
      </c>
      <c r="G123" s="12">
        <f>IF(D123="A",1,0)</f>
        <v/>
      </c>
      <c r="H123" s="12">
        <f>IF(D123="L",1,0)</f>
        <v/>
      </c>
    </row>
    <row r="124">
      <c r="A124" s="11">
        <f>IF($B$8="","",$B$8+113)</f>
        <v/>
      </c>
      <c r="B124" s="12">
        <f>IF(A124="","",TEXT(A124,"ddd"))</f>
        <v/>
      </c>
      <c r="C124" s="13" t="inlineStr"/>
      <c r="D124" s="12" t="inlineStr"/>
      <c r="E124" s="13" t="inlineStr"/>
      <c r="F124" s="12">
        <f>IF(D124="P",1,0)</f>
        <v/>
      </c>
      <c r="G124" s="12">
        <f>IF(D124="A",1,0)</f>
        <v/>
      </c>
      <c r="H124" s="12">
        <f>IF(D124="L",1,0)</f>
        <v/>
      </c>
    </row>
    <row r="125">
      <c r="A125" s="11">
        <f>IF($B$8="","",$B$8+114)</f>
        <v/>
      </c>
      <c r="B125" s="12">
        <f>IF(A125="","",TEXT(A125,"ddd"))</f>
        <v/>
      </c>
      <c r="C125" s="13" t="inlineStr"/>
      <c r="D125" s="12" t="inlineStr"/>
      <c r="E125" s="13" t="inlineStr"/>
      <c r="F125" s="12">
        <f>IF(D125="P",1,0)</f>
        <v/>
      </c>
      <c r="G125" s="12">
        <f>IF(D125="A",1,0)</f>
        <v/>
      </c>
      <c r="H125" s="12">
        <f>IF(D125="L",1,0)</f>
        <v/>
      </c>
    </row>
    <row r="126">
      <c r="A126" s="11">
        <f>IF($B$8="","",$B$8+115)</f>
        <v/>
      </c>
      <c r="B126" s="12">
        <f>IF(A126="","",TEXT(A126,"ddd"))</f>
        <v/>
      </c>
      <c r="C126" s="13" t="inlineStr"/>
      <c r="D126" s="12" t="inlineStr"/>
      <c r="E126" s="13" t="inlineStr"/>
      <c r="F126" s="12">
        <f>IF(D126="P",1,0)</f>
        <v/>
      </c>
      <c r="G126" s="12">
        <f>IF(D126="A",1,0)</f>
        <v/>
      </c>
      <c r="H126" s="12">
        <f>IF(D126="L",1,0)</f>
        <v/>
      </c>
    </row>
    <row r="127">
      <c r="A127" s="11">
        <f>IF($B$8="","",$B$8+116)</f>
        <v/>
      </c>
      <c r="B127" s="12">
        <f>IF(A127="","",TEXT(A127,"ddd"))</f>
        <v/>
      </c>
      <c r="C127" s="13" t="inlineStr"/>
      <c r="D127" s="12" t="inlineStr"/>
      <c r="E127" s="13" t="inlineStr"/>
      <c r="F127" s="12">
        <f>IF(D127="P",1,0)</f>
        <v/>
      </c>
      <c r="G127" s="12">
        <f>IF(D127="A",1,0)</f>
        <v/>
      </c>
      <c r="H127" s="12">
        <f>IF(D127="L",1,0)</f>
        <v/>
      </c>
    </row>
    <row r="128">
      <c r="A128" s="11">
        <f>IF($B$8="","",$B$8+117)</f>
        <v/>
      </c>
      <c r="B128" s="12">
        <f>IF(A128="","",TEXT(A128,"ddd"))</f>
        <v/>
      </c>
      <c r="C128" s="13" t="inlineStr"/>
      <c r="D128" s="12" t="inlineStr"/>
      <c r="E128" s="13" t="inlineStr"/>
      <c r="F128" s="12">
        <f>IF(D128="P",1,0)</f>
        <v/>
      </c>
      <c r="G128" s="12">
        <f>IF(D128="A",1,0)</f>
        <v/>
      </c>
      <c r="H128" s="12">
        <f>IF(D128="L",1,0)</f>
        <v/>
      </c>
    </row>
    <row r="129">
      <c r="A129" s="11">
        <f>IF($B$8="","",$B$8+118)</f>
        <v/>
      </c>
      <c r="B129" s="12">
        <f>IF(A129="","",TEXT(A129,"ddd"))</f>
        <v/>
      </c>
      <c r="C129" s="13" t="inlineStr"/>
      <c r="D129" s="12" t="inlineStr"/>
      <c r="E129" s="13" t="inlineStr"/>
      <c r="F129" s="12">
        <f>IF(D129="P",1,0)</f>
        <v/>
      </c>
      <c r="G129" s="12">
        <f>IF(D129="A",1,0)</f>
        <v/>
      </c>
      <c r="H129" s="12">
        <f>IF(D129="L",1,0)</f>
        <v/>
      </c>
    </row>
    <row r="130">
      <c r="A130" s="11">
        <f>IF($B$8="","",$B$8+119)</f>
        <v/>
      </c>
      <c r="B130" s="12">
        <f>IF(A130="","",TEXT(A130,"ddd"))</f>
        <v/>
      </c>
      <c r="C130" s="13" t="inlineStr"/>
      <c r="D130" s="12" t="inlineStr"/>
      <c r="E130" s="13" t="inlineStr"/>
      <c r="F130" s="12">
        <f>IF(D130="P",1,0)</f>
        <v/>
      </c>
      <c r="G130" s="12">
        <f>IF(D130="A",1,0)</f>
        <v/>
      </c>
      <c r="H130" s="12">
        <f>IF(D130="L",1,0)</f>
        <v/>
      </c>
    </row>
    <row r="133">
      <c r="A133" s="14" t="inlineStr">
        <is>
          <t>How to use: Enter the course start date in the yellow cell, add the topic for each class, and select P, A, or L from the Attendance dropdown. The summary updates automatically.</t>
        </is>
      </c>
    </row>
    <row r="134"/>
  </sheetData>
  <autoFilter ref="A10:H131"/>
  <mergeCells count="9">
    <mergeCell ref="B3:D3"/>
    <mergeCell ref="B5:D5"/>
    <mergeCell ref="A133:H134"/>
    <mergeCell ref="B8:D8"/>
    <mergeCell ref="B4:D4"/>
    <mergeCell ref="F3:H3"/>
    <mergeCell ref="A1:H1"/>
    <mergeCell ref="B7:D7"/>
    <mergeCell ref="B6:D6"/>
  </mergeCells>
  <conditionalFormatting sqref="D11:D130">
    <cfRule type="expression" priority="1" dxfId="0">
      <formula>D11="P"</formula>
    </cfRule>
    <cfRule type="expression" priority="2" dxfId="1">
      <formula>D11="A"</formula>
    </cfRule>
    <cfRule type="expression" priority="3" dxfId="2">
      <formula>D11="L"</formula>
    </cfRule>
  </conditionalFormatting>
  <dataValidations count="1">
    <dataValidation sqref="D11:D130" showDropDown="0" showInputMessage="0" showErrorMessage="0" allowBlank="1" errorTitle="Invalid Attendance" error="Please select P, A, or L." promptTitle="Attendance Entry" prompt="P = Present, A = Absent, L = Leave" type="list">
      <formula1>"P,A,L"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15" t="inlineStr">
        <is>
          <t>MERN STACK COURSE — ATTENDANCE SUMMARY</t>
        </is>
      </c>
    </row>
    <row r="3">
      <c r="A3" s="2" t="inlineStr">
        <is>
          <t>Student Name</t>
        </is>
      </c>
      <c r="B3" s="8">
        <f>'Attendance Tracker'!B6</f>
        <v/>
      </c>
    </row>
    <row r="4">
      <c r="A4" s="2" t="inlineStr">
        <is>
          <t>Course</t>
        </is>
      </c>
      <c r="B4" s="8">
        <f>'Attendance Tracker'!B3</f>
        <v/>
      </c>
    </row>
    <row r="5">
      <c r="A5" s="2" t="inlineStr">
        <is>
          <t>Start Date</t>
        </is>
      </c>
      <c r="B5" s="8">
        <f>'Attendance Tracker'!B8</f>
        <v/>
      </c>
    </row>
    <row r="8">
      <c r="A8" s="16" t="inlineStr">
        <is>
          <t>Month</t>
        </is>
      </c>
      <c r="B8" s="16" t="inlineStr">
        <is>
          <t>Total Classes</t>
        </is>
      </c>
      <c r="C8" s="16" t="inlineStr">
        <is>
          <t>Present</t>
        </is>
      </c>
      <c r="D8" s="16" t="inlineStr">
        <is>
          <t>Absent</t>
        </is>
      </c>
      <c r="E8" s="16" t="inlineStr">
        <is>
          <t>Leave</t>
        </is>
      </c>
      <c r="F8" s="16" t="inlineStr">
        <is>
          <t>Attendance %</t>
        </is>
      </c>
    </row>
    <row r="9">
      <c r="A9" s="17" t="inlineStr">
        <is>
          <t>Month 1</t>
        </is>
      </c>
      <c r="B9" s="17">
        <f>COUNT('Attendance Tracker'!D11:D40)</f>
        <v/>
      </c>
      <c r="C9" s="17">
        <f>COUNTIF('Attendance Tracker'!D11:D40,"P")</f>
        <v/>
      </c>
      <c r="D9" s="17">
        <f>COUNTIF('Attendance Tracker'!D11:D40,"A")</f>
        <v/>
      </c>
      <c r="E9" s="17">
        <f>COUNTIF('Attendance Tracker'!D11:D40,"L")</f>
        <v/>
      </c>
      <c r="F9" s="18">
        <f>IF(B9=0,0,C9/B9)</f>
        <v/>
      </c>
    </row>
    <row r="10">
      <c r="A10" s="17" t="inlineStr">
        <is>
          <t>Month 2</t>
        </is>
      </c>
      <c r="B10" s="17">
        <f>COUNT('Attendance Tracker'!D41:D70)</f>
        <v/>
      </c>
      <c r="C10" s="17">
        <f>COUNTIF('Attendance Tracker'!D41:D70,"P")</f>
        <v/>
      </c>
      <c r="D10" s="17">
        <f>COUNTIF('Attendance Tracker'!D41:D70,"A")</f>
        <v/>
      </c>
      <c r="E10" s="17">
        <f>COUNTIF('Attendance Tracker'!D41:D70,"L")</f>
        <v/>
      </c>
      <c r="F10" s="18">
        <f>IF(B10=0,0,C10/B10)</f>
        <v/>
      </c>
    </row>
    <row r="11">
      <c r="A11" s="17" t="inlineStr">
        <is>
          <t>Month 3</t>
        </is>
      </c>
      <c r="B11" s="17">
        <f>COUNT('Attendance Tracker'!D71:D100)</f>
        <v/>
      </c>
      <c r="C11" s="17">
        <f>COUNTIF('Attendance Tracker'!D71:D100,"P")</f>
        <v/>
      </c>
      <c r="D11" s="17">
        <f>COUNTIF('Attendance Tracker'!D71:D100,"A")</f>
        <v/>
      </c>
      <c r="E11" s="17">
        <f>COUNTIF('Attendance Tracker'!D71:D100,"L")</f>
        <v/>
      </c>
      <c r="F11" s="18">
        <f>IF(B11=0,0,C11/B11)</f>
        <v/>
      </c>
    </row>
    <row r="12">
      <c r="A12" s="17" t="inlineStr">
        <is>
          <t>Month 4</t>
        </is>
      </c>
      <c r="B12" s="17">
        <f>COUNT('Attendance Tracker'!D101:D130)</f>
        <v/>
      </c>
      <c r="C12" s="17">
        <f>COUNTIF('Attendance Tracker'!D101:D130,"P")</f>
        <v/>
      </c>
      <c r="D12" s="17">
        <f>COUNTIF('Attendance Tracker'!D101:D130,"A")</f>
        <v/>
      </c>
      <c r="E12" s="17">
        <f>COUNTIF('Attendance Tracker'!D101:D130,"L")</f>
        <v/>
      </c>
      <c r="F12" s="18">
        <f>IF(B12=0,0,C12/B12)</f>
        <v/>
      </c>
    </row>
    <row r="13">
      <c r="A13" s="19" t="inlineStr">
        <is>
          <t>4-MONTH TOTAL</t>
        </is>
      </c>
      <c r="B13" s="19">
        <f>SUM(B9:B12)</f>
        <v/>
      </c>
      <c r="C13" s="19">
        <f>SUM(C9:C12)</f>
        <v/>
      </c>
      <c r="D13" s="19">
        <f>SUM(D9:D12)</f>
        <v/>
      </c>
      <c r="E13" s="19">
        <f>SUM(E9:E12)</f>
        <v/>
      </c>
      <c r="F13" s="20">
        <f>IF(B13=0,0,C13/B13)</f>
        <v/>
      </c>
    </row>
  </sheetData>
  <mergeCells count="1">
    <mergeCell ref="A1:F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8" customWidth="1" min="3" max="3"/>
    <col width="14" customWidth="1" min="4" max="4"/>
    <col width="28" customWidth="1" min="5" max="5"/>
    <col width="10" customWidth="1" min="6" max="6"/>
    <col width="10" customWidth="1" min="7" max="7"/>
  </cols>
  <sheetData>
    <row r="1">
      <c r="A1" s="21" t="inlineStr">
        <is>
          <t>MERN STACK COURSE — MONTH 1 ATTENDANCE</t>
        </is>
      </c>
    </row>
    <row r="3">
      <c r="A3" s="16" t="inlineStr">
        <is>
          <t>Date</t>
        </is>
      </c>
      <c r="B3" s="16" t="inlineStr">
        <is>
          <t>Day</t>
        </is>
      </c>
      <c r="C3" s="16" t="inlineStr">
        <is>
          <t>Topic / Module</t>
        </is>
      </c>
      <c r="D3" s="16" t="inlineStr">
        <is>
          <t>Attendance</t>
        </is>
      </c>
      <c r="E3" s="16" t="inlineStr">
        <is>
          <t>Remarks</t>
        </is>
      </c>
      <c r="F3" s="16" t="inlineStr">
        <is>
          <t>Present</t>
        </is>
      </c>
      <c r="G3" s="16" t="inlineStr">
        <is>
          <t>Absent</t>
        </is>
      </c>
    </row>
    <row r="4">
      <c r="A4" s="22">
        <f>'Attendance Tracker'!A11</f>
        <v/>
      </c>
      <c r="B4" s="17">
        <f>'Attendance Tracker'!B11</f>
        <v/>
      </c>
      <c r="C4" s="17">
        <f>'Attendance Tracker'!C11</f>
        <v/>
      </c>
      <c r="D4" s="17">
        <f>'Attendance Tracker'!D11</f>
        <v/>
      </c>
      <c r="E4" s="17">
        <f>'Attendance Tracker'!E11</f>
        <v/>
      </c>
      <c r="F4" s="17">
        <f>'Attendance Tracker'!F11</f>
        <v/>
      </c>
      <c r="G4" s="17">
        <f>'Attendance Tracker'!G11</f>
        <v/>
      </c>
    </row>
    <row r="5">
      <c r="A5" s="22">
        <f>'Attendance Tracker'!A12</f>
        <v/>
      </c>
      <c r="B5" s="17">
        <f>'Attendance Tracker'!B12</f>
        <v/>
      </c>
      <c r="C5" s="17">
        <f>'Attendance Tracker'!C12</f>
        <v/>
      </c>
      <c r="D5" s="17">
        <f>'Attendance Tracker'!D12</f>
        <v/>
      </c>
      <c r="E5" s="17">
        <f>'Attendance Tracker'!E12</f>
        <v/>
      </c>
      <c r="F5" s="17">
        <f>'Attendance Tracker'!F12</f>
        <v/>
      </c>
      <c r="G5" s="17">
        <f>'Attendance Tracker'!G12</f>
        <v/>
      </c>
    </row>
    <row r="6">
      <c r="A6" s="22">
        <f>'Attendance Tracker'!A13</f>
        <v/>
      </c>
      <c r="B6" s="17">
        <f>'Attendance Tracker'!B13</f>
        <v/>
      </c>
      <c r="C6" s="17">
        <f>'Attendance Tracker'!C13</f>
        <v/>
      </c>
      <c r="D6" s="17">
        <f>'Attendance Tracker'!D13</f>
        <v/>
      </c>
      <c r="E6" s="17">
        <f>'Attendance Tracker'!E13</f>
        <v/>
      </c>
      <c r="F6" s="17">
        <f>'Attendance Tracker'!F13</f>
        <v/>
      </c>
      <c r="G6" s="17">
        <f>'Attendance Tracker'!G13</f>
        <v/>
      </c>
    </row>
    <row r="7">
      <c r="A7" s="22">
        <f>'Attendance Tracker'!A14</f>
        <v/>
      </c>
      <c r="B7" s="17">
        <f>'Attendance Tracker'!B14</f>
        <v/>
      </c>
      <c r="C7" s="17">
        <f>'Attendance Tracker'!C14</f>
        <v/>
      </c>
      <c r="D7" s="17">
        <f>'Attendance Tracker'!D14</f>
        <v/>
      </c>
      <c r="E7" s="17">
        <f>'Attendance Tracker'!E14</f>
        <v/>
      </c>
      <c r="F7" s="17">
        <f>'Attendance Tracker'!F14</f>
        <v/>
      </c>
      <c r="G7" s="17">
        <f>'Attendance Tracker'!G14</f>
        <v/>
      </c>
    </row>
    <row r="8">
      <c r="A8" s="22">
        <f>'Attendance Tracker'!A15</f>
        <v/>
      </c>
      <c r="B8" s="17">
        <f>'Attendance Tracker'!B15</f>
        <v/>
      </c>
      <c r="C8" s="17">
        <f>'Attendance Tracker'!C15</f>
        <v/>
      </c>
      <c r="D8" s="17">
        <f>'Attendance Tracker'!D15</f>
        <v/>
      </c>
      <c r="E8" s="17">
        <f>'Attendance Tracker'!E15</f>
        <v/>
      </c>
      <c r="F8" s="17">
        <f>'Attendance Tracker'!F15</f>
        <v/>
      </c>
      <c r="G8" s="17">
        <f>'Attendance Tracker'!G15</f>
        <v/>
      </c>
    </row>
    <row r="9">
      <c r="A9" s="22">
        <f>'Attendance Tracker'!A16</f>
        <v/>
      </c>
      <c r="B9" s="17">
        <f>'Attendance Tracker'!B16</f>
        <v/>
      </c>
      <c r="C9" s="17">
        <f>'Attendance Tracker'!C16</f>
        <v/>
      </c>
      <c r="D9" s="17">
        <f>'Attendance Tracker'!D16</f>
        <v/>
      </c>
      <c r="E9" s="17">
        <f>'Attendance Tracker'!E16</f>
        <v/>
      </c>
      <c r="F9" s="17">
        <f>'Attendance Tracker'!F16</f>
        <v/>
      </c>
      <c r="G9" s="17">
        <f>'Attendance Tracker'!G16</f>
        <v/>
      </c>
    </row>
    <row r="10">
      <c r="A10" s="22">
        <f>'Attendance Tracker'!A17</f>
        <v/>
      </c>
      <c r="B10" s="17">
        <f>'Attendance Tracker'!B17</f>
        <v/>
      </c>
      <c r="C10" s="17">
        <f>'Attendance Tracker'!C17</f>
        <v/>
      </c>
      <c r="D10" s="17">
        <f>'Attendance Tracker'!D17</f>
        <v/>
      </c>
      <c r="E10" s="17">
        <f>'Attendance Tracker'!E17</f>
        <v/>
      </c>
      <c r="F10" s="17">
        <f>'Attendance Tracker'!F17</f>
        <v/>
      </c>
      <c r="G10" s="17">
        <f>'Attendance Tracker'!G17</f>
        <v/>
      </c>
    </row>
    <row r="11">
      <c r="A11" s="22">
        <f>'Attendance Tracker'!A18</f>
        <v/>
      </c>
      <c r="B11" s="17">
        <f>'Attendance Tracker'!B18</f>
        <v/>
      </c>
      <c r="C11" s="17">
        <f>'Attendance Tracker'!C18</f>
        <v/>
      </c>
      <c r="D11" s="17">
        <f>'Attendance Tracker'!D18</f>
        <v/>
      </c>
      <c r="E11" s="17">
        <f>'Attendance Tracker'!E18</f>
        <v/>
      </c>
      <c r="F11" s="17">
        <f>'Attendance Tracker'!F18</f>
        <v/>
      </c>
      <c r="G11" s="17">
        <f>'Attendance Tracker'!G18</f>
        <v/>
      </c>
    </row>
    <row r="12">
      <c r="A12" s="22">
        <f>'Attendance Tracker'!A19</f>
        <v/>
      </c>
      <c r="B12" s="17">
        <f>'Attendance Tracker'!B19</f>
        <v/>
      </c>
      <c r="C12" s="17">
        <f>'Attendance Tracker'!C19</f>
        <v/>
      </c>
      <c r="D12" s="17">
        <f>'Attendance Tracker'!D19</f>
        <v/>
      </c>
      <c r="E12" s="17">
        <f>'Attendance Tracker'!E19</f>
        <v/>
      </c>
      <c r="F12" s="17">
        <f>'Attendance Tracker'!F19</f>
        <v/>
      </c>
      <c r="G12" s="17">
        <f>'Attendance Tracker'!G19</f>
        <v/>
      </c>
    </row>
    <row r="13">
      <c r="A13" s="22">
        <f>'Attendance Tracker'!A20</f>
        <v/>
      </c>
      <c r="B13" s="17">
        <f>'Attendance Tracker'!B20</f>
        <v/>
      </c>
      <c r="C13" s="17">
        <f>'Attendance Tracker'!C20</f>
        <v/>
      </c>
      <c r="D13" s="17">
        <f>'Attendance Tracker'!D20</f>
        <v/>
      </c>
      <c r="E13" s="17">
        <f>'Attendance Tracker'!E20</f>
        <v/>
      </c>
      <c r="F13" s="17">
        <f>'Attendance Tracker'!F20</f>
        <v/>
      </c>
      <c r="G13" s="17">
        <f>'Attendance Tracker'!G20</f>
        <v/>
      </c>
    </row>
    <row r="14">
      <c r="A14" s="22">
        <f>'Attendance Tracker'!A21</f>
        <v/>
      </c>
      <c r="B14" s="17">
        <f>'Attendance Tracker'!B21</f>
        <v/>
      </c>
      <c r="C14" s="17">
        <f>'Attendance Tracker'!C21</f>
        <v/>
      </c>
      <c r="D14" s="17">
        <f>'Attendance Tracker'!D21</f>
        <v/>
      </c>
      <c r="E14" s="17">
        <f>'Attendance Tracker'!E21</f>
        <v/>
      </c>
      <c r="F14" s="17">
        <f>'Attendance Tracker'!F21</f>
        <v/>
      </c>
      <c r="G14" s="17">
        <f>'Attendance Tracker'!G21</f>
        <v/>
      </c>
    </row>
    <row r="15">
      <c r="A15" s="22">
        <f>'Attendance Tracker'!A22</f>
        <v/>
      </c>
      <c r="B15" s="17">
        <f>'Attendance Tracker'!B22</f>
        <v/>
      </c>
      <c r="C15" s="17">
        <f>'Attendance Tracker'!C22</f>
        <v/>
      </c>
      <c r="D15" s="17">
        <f>'Attendance Tracker'!D22</f>
        <v/>
      </c>
      <c r="E15" s="17">
        <f>'Attendance Tracker'!E22</f>
        <v/>
      </c>
      <c r="F15" s="17">
        <f>'Attendance Tracker'!F22</f>
        <v/>
      </c>
      <c r="G15" s="17">
        <f>'Attendance Tracker'!G22</f>
        <v/>
      </c>
    </row>
    <row r="16">
      <c r="A16" s="22">
        <f>'Attendance Tracker'!A23</f>
        <v/>
      </c>
      <c r="B16" s="17">
        <f>'Attendance Tracker'!B23</f>
        <v/>
      </c>
      <c r="C16" s="17">
        <f>'Attendance Tracker'!C23</f>
        <v/>
      </c>
      <c r="D16" s="17">
        <f>'Attendance Tracker'!D23</f>
        <v/>
      </c>
      <c r="E16" s="17">
        <f>'Attendance Tracker'!E23</f>
        <v/>
      </c>
      <c r="F16" s="17">
        <f>'Attendance Tracker'!F23</f>
        <v/>
      </c>
      <c r="G16" s="17">
        <f>'Attendance Tracker'!G23</f>
        <v/>
      </c>
    </row>
    <row r="17">
      <c r="A17" s="22">
        <f>'Attendance Tracker'!A24</f>
        <v/>
      </c>
      <c r="B17" s="17">
        <f>'Attendance Tracker'!B24</f>
        <v/>
      </c>
      <c r="C17" s="17">
        <f>'Attendance Tracker'!C24</f>
        <v/>
      </c>
      <c r="D17" s="17">
        <f>'Attendance Tracker'!D24</f>
        <v/>
      </c>
      <c r="E17" s="17">
        <f>'Attendance Tracker'!E24</f>
        <v/>
      </c>
      <c r="F17" s="17">
        <f>'Attendance Tracker'!F24</f>
        <v/>
      </c>
      <c r="G17" s="17">
        <f>'Attendance Tracker'!G24</f>
        <v/>
      </c>
    </row>
    <row r="18">
      <c r="A18" s="22">
        <f>'Attendance Tracker'!A25</f>
        <v/>
      </c>
      <c r="B18" s="17">
        <f>'Attendance Tracker'!B25</f>
        <v/>
      </c>
      <c r="C18" s="17">
        <f>'Attendance Tracker'!C25</f>
        <v/>
      </c>
      <c r="D18" s="17">
        <f>'Attendance Tracker'!D25</f>
        <v/>
      </c>
      <c r="E18" s="17">
        <f>'Attendance Tracker'!E25</f>
        <v/>
      </c>
      <c r="F18" s="17">
        <f>'Attendance Tracker'!F25</f>
        <v/>
      </c>
      <c r="G18" s="17">
        <f>'Attendance Tracker'!G25</f>
        <v/>
      </c>
    </row>
    <row r="19">
      <c r="A19" s="22">
        <f>'Attendance Tracker'!A26</f>
        <v/>
      </c>
      <c r="B19" s="17">
        <f>'Attendance Tracker'!B26</f>
        <v/>
      </c>
      <c r="C19" s="17">
        <f>'Attendance Tracker'!C26</f>
        <v/>
      </c>
      <c r="D19" s="17">
        <f>'Attendance Tracker'!D26</f>
        <v/>
      </c>
      <c r="E19" s="17">
        <f>'Attendance Tracker'!E26</f>
        <v/>
      </c>
      <c r="F19" s="17">
        <f>'Attendance Tracker'!F26</f>
        <v/>
      </c>
      <c r="G19" s="17">
        <f>'Attendance Tracker'!G26</f>
        <v/>
      </c>
    </row>
    <row r="20">
      <c r="A20" s="22">
        <f>'Attendance Tracker'!A27</f>
        <v/>
      </c>
      <c r="B20" s="17">
        <f>'Attendance Tracker'!B27</f>
        <v/>
      </c>
      <c r="C20" s="17">
        <f>'Attendance Tracker'!C27</f>
        <v/>
      </c>
      <c r="D20" s="17">
        <f>'Attendance Tracker'!D27</f>
        <v/>
      </c>
      <c r="E20" s="17">
        <f>'Attendance Tracker'!E27</f>
        <v/>
      </c>
      <c r="F20" s="17">
        <f>'Attendance Tracker'!F27</f>
        <v/>
      </c>
      <c r="G20" s="17">
        <f>'Attendance Tracker'!G27</f>
        <v/>
      </c>
    </row>
    <row r="21">
      <c r="A21" s="22">
        <f>'Attendance Tracker'!A28</f>
        <v/>
      </c>
      <c r="B21" s="17">
        <f>'Attendance Tracker'!B28</f>
        <v/>
      </c>
      <c r="C21" s="17">
        <f>'Attendance Tracker'!C28</f>
        <v/>
      </c>
      <c r="D21" s="17">
        <f>'Attendance Tracker'!D28</f>
        <v/>
      </c>
      <c r="E21" s="17">
        <f>'Attendance Tracker'!E28</f>
        <v/>
      </c>
      <c r="F21" s="17">
        <f>'Attendance Tracker'!F28</f>
        <v/>
      </c>
      <c r="G21" s="17">
        <f>'Attendance Tracker'!G28</f>
        <v/>
      </c>
    </row>
    <row r="22">
      <c r="A22" s="22">
        <f>'Attendance Tracker'!A29</f>
        <v/>
      </c>
      <c r="B22" s="17">
        <f>'Attendance Tracker'!B29</f>
        <v/>
      </c>
      <c r="C22" s="17">
        <f>'Attendance Tracker'!C29</f>
        <v/>
      </c>
      <c r="D22" s="17">
        <f>'Attendance Tracker'!D29</f>
        <v/>
      </c>
      <c r="E22" s="17">
        <f>'Attendance Tracker'!E29</f>
        <v/>
      </c>
      <c r="F22" s="17">
        <f>'Attendance Tracker'!F29</f>
        <v/>
      </c>
      <c r="G22" s="17">
        <f>'Attendance Tracker'!G29</f>
        <v/>
      </c>
    </row>
    <row r="23">
      <c r="A23" s="22">
        <f>'Attendance Tracker'!A30</f>
        <v/>
      </c>
      <c r="B23" s="17">
        <f>'Attendance Tracker'!B30</f>
        <v/>
      </c>
      <c r="C23" s="17">
        <f>'Attendance Tracker'!C30</f>
        <v/>
      </c>
      <c r="D23" s="17">
        <f>'Attendance Tracker'!D30</f>
        <v/>
      </c>
      <c r="E23" s="17">
        <f>'Attendance Tracker'!E30</f>
        <v/>
      </c>
      <c r="F23" s="17">
        <f>'Attendance Tracker'!F30</f>
        <v/>
      </c>
      <c r="G23" s="17">
        <f>'Attendance Tracker'!G30</f>
        <v/>
      </c>
    </row>
    <row r="24">
      <c r="A24" s="22">
        <f>'Attendance Tracker'!A31</f>
        <v/>
      </c>
      <c r="B24" s="17">
        <f>'Attendance Tracker'!B31</f>
        <v/>
      </c>
      <c r="C24" s="17">
        <f>'Attendance Tracker'!C31</f>
        <v/>
      </c>
      <c r="D24" s="17">
        <f>'Attendance Tracker'!D31</f>
        <v/>
      </c>
      <c r="E24" s="17">
        <f>'Attendance Tracker'!E31</f>
        <v/>
      </c>
      <c r="F24" s="17">
        <f>'Attendance Tracker'!F31</f>
        <v/>
      </c>
      <c r="G24" s="17">
        <f>'Attendance Tracker'!G31</f>
        <v/>
      </c>
    </row>
    <row r="25">
      <c r="A25" s="22">
        <f>'Attendance Tracker'!A32</f>
        <v/>
      </c>
      <c r="B25" s="17">
        <f>'Attendance Tracker'!B32</f>
        <v/>
      </c>
      <c r="C25" s="17">
        <f>'Attendance Tracker'!C32</f>
        <v/>
      </c>
      <c r="D25" s="17">
        <f>'Attendance Tracker'!D32</f>
        <v/>
      </c>
      <c r="E25" s="17">
        <f>'Attendance Tracker'!E32</f>
        <v/>
      </c>
      <c r="F25" s="17">
        <f>'Attendance Tracker'!F32</f>
        <v/>
      </c>
      <c r="G25" s="17">
        <f>'Attendance Tracker'!G32</f>
        <v/>
      </c>
    </row>
    <row r="26">
      <c r="A26" s="22">
        <f>'Attendance Tracker'!A33</f>
        <v/>
      </c>
      <c r="B26" s="17">
        <f>'Attendance Tracker'!B33</f>
        <v/>
      </c>
      <c r="C26" s="17">
        <f>'Attendance Tracker'!C33</f>
        <v/>
      </c>
      <c r="D26" s="17">
        <f>'Attendance Tracker'!D33</f>
        <v/>
      </c>
      <c r="E26" s="17">
        <f>'Attendance Tracker'!E33</f>
        <v/>
      </c>
      <c r="F26" s="17">
        <f>'Attendance Tracker'!F33</f>
        <v/>
      </c>
      <c r="G26" s="17">
        <f>'Attendance Tracker'!G33</f>
        <v/>
      </c>
    </row>
    <row r="27">
      <c r="A27" s="22">
        <f>'Attendance Tracker'!A34</f>
        <v/>
      </c>
      <c r="B27" s="17">
        <f>'Attendance Tracker'!B34</f>
        <v/>
      </c>
      <c r="C27" s="17">
        <f>'Attendance Tracker'!C34</f>
        <v/>
      </c>
      <c r="D27" s="17">
        <f>'Attendance Tracker'!D34</f>
        <v/>
      </c>
      <c r="E27" s="17">
        <f>'Attendance Tracker'!E34</f>
        <v/>
      </c>
      <c r="F27" s="17">
        <f>'Attendance Tracker'!F34</f>
        <v/>
      </c>
      <c r="G27" s="17">
        <f>'Attendance Tracker'!G34</f>
        <v/>
      </c>
    </row>
    <row r="28">
      <c r="A28" s="22">
        <f>'Attendance Tracker'!A35</f>
        <v/>
      </c>
      <c r="B28" s="17">
        <f>'Attendance Tracker'!B35</f>
        <v/>
      </c>
      <c r="C28" s="17">
        <f>'Attendance Tracker'!C35</f>
        <v/>
      </c>
      <c r="D28" s="17">
        <f>'Attendance Tracker'!D35</f>
        <v/>
      </c>
      <c r="E28" s="17">
        <f>'Attendance Tracker'!E35</f>
        <v/>
      </c>
      <c r="F28" s="17">
        <f>'Attendance Tracker'!F35</f>
        <v/>
      </c>
      <c r="G28" s="17">
        <f>'Attendance Tracker'!G35</f>
        <v/>
      </c>
    </row>
    <row r="29">
      <c r="A29" s="22">
        <f>'Attendance Tracker'!A36</f>
        <v/>
      </c>
      <c r="B29" s="17">
        <f>'Attendance Tracker'!B36</f>
        <v/>
      </c>
      <c r="C29" s="17">
        <f>'Attendance Tracker'!C36</f>
        <v/>
      </c>
      <c r="D29" s="17">
        <f>'Attendance Tracker'!D36</f>
        <v/>
      </c>
      <c r="E29" s="17">
        <f>'Attendance Tracker'!E36</f>
        <v/>
      </c>
      <c r="F29" s="17">
        <f>'Attendance Tracker'!F36</f>
        <v/>
      </c>
      <c r="G29" s="17">
        <f>'Attendance Tracker'!G36</f>
        <v/>
      </c>
    </row>
    <row r="30">
      <c r="A30" s="22">
        <f>'Attendance Tracker'!A37</f>
        <v/>
      </c>
      <c r="B30" s="17">
        <f>'Attendance Tracker'!B37</f>
        <v/>
      </c>
      <c r="C30" s="17">
        <f>'Attendance Tracker'!C37</f>
        <v/>
      </c>
      <c r="D30" s="17">
        <f>'Attendance Tracker'!D37</f>
        <v/>
      </c>
      <c r="E30" s="17">
        <f>'Attendance Tracker'!E37</f>
        <v/>
      </c>
      <c r="F30" s="17">
        <f>'Attendance Tracker'!F37</f>
        <v/>
      </c>
      <c r="G30" s="17">
        <f>'Attendance Tracker'!G37</f>
        <v/>
      </c>
    </row>
    <row r="31">
      <c r="A31" s="22">
        <f>'Attendance Tracker'!A38</f>
        <v/>
      </c>
      <c r="B31" s="17">
        <f>'Attendance Tracker'!B38</f>
        <v/>
      </c>
      <c r="C31" s="17">
        <f>'Attendance Tracker'!C38</f>
        <v/>
      </c>
      <c r="D31" s="17">
        <f>'Attendance Tracker'!D38</f>
        <v/>
      </c>
      <c r="E31" s="17">
        <f>'Attendance Tracker'!E38</f>
        <v/>
      </c>
      <c r="F31" s="17">
        <f>'Attendance Tracker'!F38</f>
        <v/>
      </c>
      <c r="G31" s="17">
        <f>'Attendance Tracker'!G38</f>
        <v/>
      </c>
    </row>
    <row r="32">
      <c r="A32" s="22">
        <f>'Attendance Tracker'!A39</f>
        <v/>
      </c>
      <c r="B32" s="17">
        <f>'Attendance Tracker'!B39</f>
        <v/>
      </c>
      <c r="C32" s="17">
        <f>'Attendance Tracker'!C39</f>
        <v/>
      </c>
      <c r="D32" s="17">
        <f>'Attendance Tracker'!D39</f>
        <v/>
      </c>
      <c r="E32" s="17">
        <f>'Attendance Tracker'!E39</f>
        <v/>
      </c>
      <c r="F32" s="17">
        <f>'Attendance Tracker'!F39</f>
        <v/>
      </c>
      <c r="G32" s="17">
        <f>'Attendance Tracker'!G39</f>
        <v/>
      </c>
    </row>
    <row r="33">
      <c r="A33" s="22">
        <f>'Attendance Tracker'!A40</f>
        <v/>
      </c>
      <c r="B33" s="17">
        <f>'Attendance Tracker'!B40</f>
        <v/>
      </c>
      <c r="C33" s="17">
        <f>'Attendance Tracker'!C40</f>
        <v/>
      </c>
      <c r="D33" s="17">
        <f>'Attendance Tracker'!D40</f>
        <v/>
      </c>
      <c r="E33" s="17">
        <f>'Attendance Tracker'!E40</f>
        <v/>
      </c>
      <c r="F33" s="17">
        <f>'Attendance Tracker'!F40</f>
        <v/>
      </c>
      <c r="G33" s="17">
        <f>'Attendance Tracker'!G40</f>
        <v/>
      </c>
    </row>
  </sheetData>
  <autoFilter ref="A3:G33"/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8" customWidth="1" min="3" max="3"/>
    <col width="14" customWidth="1" min="4" max="4"/>
    <col width="28" customWidth="1" min="5" max="5"/>
    <col width="10" customWidth="1" min="6" max="6"/>
    <col width="10" customWidth="1" min="7" max="7"/>
  </cols>
  <sheetData>
    <row r="1">
      <c r="A1" s="21" t="inlineStr">
        <is>
          <t>MERN STACK COURSE — MONTH 2 ATTENDANCE</t>
        </is>
      </c>
    </row>
    <row r="3">
      <c r="A3" s="16" t="inlineStr">
        <is>
          <t>Date</t>
        </is>
      </c>
      <c r="B3" s="16" t="inlineStr">
        <is>
          <t>Day</t>
        </is>
      </c>
      <c r="C3" s="16" t="inlineStr">
        <is>
          <t>Topic / Module</t>
        </is>
      </c>
      <c r="D3" s="16" t="inlineStr">
        <is>
          <t>Attendance</t>
        </is>
      </c>
      <c r="E3" s="16" t="inlineStr">
        <is>
          <t>Remarks</t>
        </is>
      </c>
      <c r="F3" s="16" t="inlineStr">
        <is>
          <t>Present</t>
        </is>
      </c>
      <c r="G3" s="16" t="inlineStr">
        <is>
          <t>Absent</t>
        </is>
      </c>
    </row>
    <row r="4">
      <c r="A4" s="22">
        <f>'Attendance Tracker'!A41</f>
        <v/>
      </c>
      <c r="B4" s="17">
        <f>'Attendance Tracker'!B41</f>
        <v/>
      </c>
      <c r="C4" s="17">
        <f>'Attendance Tracker'!C41</f>
        <v/>
      </c>
      <c r="D4" s="17">
        <f>'Attendance Tracker'!D41</f>
        <v/>
      </c>
      <c r="E4" s="17">
        <f>'Attendance Tracker'!E41</f>
        <v/>
      </c>
      <c r="F4" s="17">
        <f>'Attendance Tracker'!F41</f>
        <v/>
      </c>
      <c r="G4" s="17">
        <f>'Attendance Tracker'!G41</f>
        <v/>
      </c>
    </row>
    <row r="5">
      <c r="A5" s="22">
        <f>'Attendance Tracker'!A42</f>
        <v/>
      </c>
      <c r="B5" s="17">
        <f>'Attendance Tracker'!B42</f>
        <v/>
      </c>
      <c r="C5" s="17">
        <f>'Attendance Tracker'!C42</f>
        <v/>
      </c>
      <c r="D5" s="17">
        <f>'Attendance Tracker'!D42</f>
        <v/>
      </c>
      <c r="E5" s="17">
        <f>'Attendance Tracker'!E42</f>
        <v/>
      </c>
      <c r="F5" s="17">
        <f>'Attendance Tracker'!F42</f>
        <v/>
      </c>
      <c r="G5" s="17">
        <f>'Attendance Tracker'!G42</f>
        <v/>
      </c>
    </row>
    <row r="6">
      <c r="A6" s="22">
        <f>'Attendance Tracker'!A43</f>
        <v/>
      </c>
      <c r="B6" s="17">
        <f>'Attendance Tracker'!B43</f>
        <v/>
      </c>
      <c r="C6" s="17">
        <f>'Attendance Tracker'!C43</f>
        <v/>
      </c>
      <c r="D6" s="17">
        <f>'Attendance Tracker'!D43</f>
        <v/>
      </c>
      <c r="E6" s="17">
        <f>'Attendance Tracker'!E43</f>
        <v/>
      </c>
      <c r="F6" s="17">
        <f>'Attendance Tracker'!F43</f>
        <v/>
      </c>
      <c r="G6" s="17">
        <f>'Attendance Tracker'!G43</f>
        <v/>
      </c>
    </row>
    <row r="7">
      <c r="A7" s="22">
        <f>'Attendance Tracker'!A44</f>
        <v/>
      </c>
      <c r="B7" s="17">
        <f>'Attendance Tracker'!B44</f>
        <v/>
      </c>
      <c r="C7" s="17">
        <f>'Attendance Tracker'!C44</f>
        <v/>
      </c>
      <c r="D7" s="17">
        <f>'Attendance Tracker'!D44</f>
        <v/>
      </c>
      <c r="E7" s="17">
        <f>'Attendance Tracker'!E44</f>
        <v/>
      </c>
      <c r="F7" s="17">
        <f>'Attendance Tracker'!F44</f>
        <v/>
      </c>
      <c r="G7" s="17">
        <f>'Attendance Tracker'!G44</f>
        <v/>
      </c>
    </row>
    <row r="8">
      <c r="A8" s="22">
        <f>'Attendance Tracker'!A45</f>
        <v/>
      </c>
      <c r="B8" s="17">
        <f>'Attendance Tracker'!B45</f>
        <v/>
      </c>
      <c r="C8" s="17">
        <f>'Attendance Tracker'!C45</f>
        <v/>
      </c>
      <c r="D8" s="17">
        <f>'Attendance Tracker'!D45</f>
        <v/>
      </c>
      <c r="E8" s="17">
        <f>'Attendance Tracker'!E45</f>
        <v/>
      </c>
      <c r="F8" s="17">
        <f>'Attendance Tracker'!F45</f>
        <v/>
      </c>
      <c r="G8" s="17">
        <f>'Attendance Tracker'!G45</f>
        <v/>
      </c>
    </row>
    <row r="9">
      <c r="A9" s="22">
        <f>'Attendance Tracker'!A46</f>
        <v/>
      </c>
      <c r="B9" s="17">
        <f>'Attendance Tracker'!B46</f>
        <v/>
      </c>
      <c r="C9" s="17">
        <f>'Attendance Tracker'!C46</f>
        <v/>
      </c>
      <c r="D9" s="17">
        <f>'Attendance Tracker'!D46</f>
        <v/>
      </c>
      <c r="E9" s="17">
        <f>'Attendance Tracker'!E46</f>
        <v/>
      </c>
      <c r="F9" s="17">
        <f>'Attendance Tracker'!F46</f>
        <v/>
      </c>
      <c r="G9" s="17">
        <f>'Attendance Tracker'!G46</f>
        <v/>
      </c>
    </row>
    <row r="10">
      <c r="A10" s="22">
        <f>'Attendance Tracker'!A47</f>
        <v/>
      </c>
      <c r="B10" s="17">
        <f>'Attendance Tracker'!B47</f>
        <v/>
      </c>
      <c r="C10" s="17">
        <f>'Attendance Tracker'!C47</f>
        <v/>
      </c>
      <c r="D10" s="17">
        <f>'Attendance Tracker'!D47</f>
        <v/>
      </c>
      <c r="E10" s="17">
        <f>'Attendance Tracker'!E47</f>
        <v/>
      </c>
      <c r="F10" s="17">
        <f>'Attendance Tracker'!F47</f>
        <v/>
      </c>
      <c r="G10" s="17">
        <f>'Attendance Tracker'!G47</f>
        <v/>
      </c>
    </row>
    <row r="11">
      <c r="A11" s="22">
        <f>'Attendance Tracker'!A48</f>
        <v/>
      </c>
      <c r="B11" s="17">
        <f>'Attendance Tracker'!B48</f>
        <v/>
      </c>
      <c r="C11" s="17">
        <f>'Attendance Tracker'!C48</f>
        <v/>
      </c>
      <c r="D11" s="17">
        <f>'Attendance Tracker'!D48</f>
        <v/>
      </c>
      <c r="E11" s="17">
        <f>'Attendance Tracker'!E48</f>
        <v/>
      </c>
      <c r="F11" s="17">
        <f>'Attendance Tracker'!F48</f>
        <v/>
      </c>
      <c r="G11" s="17">
        <f>'Attendance Tracker'!G48</f>
        <v/>
      </c>
    </row>
    <row r="12">
      <c r="A12" s="22">
        <f>'Attendance Tracker'!A49</f>
        <v/>
      </c>
      <c r="B12" s="17">
        <f>'Attendance Tracker'!B49</f>
        <v/>
      </c>
      <c r="C12" s="17">
        <f>'Attendance Tracker'!C49</f>
        <v/>
      </c>
      <c r="D12" s="17">
        <f>'Attendance Tracker'!D49</f>
        <v/>
      </c>
      <c r="E12" s="17">
        <f>'Attendance Tracker'!E49</f>
        <v/>
      </c>
      <c r="F12" s="17">
        <f>'Attendance Tracker'!F49</f>
        <v/>
      </c>
      <c r="G12" s="17">
        <f>'Attendance Tracker'!G49</f>
        <v/>
      </c>
    </row>
    <row r="13">
      <c r="A13" s="22">
        <f>'Attendance Tracker'!A50</f>
        <v/>
      </c>
      <c r="B13" s="17">
        <f>'Attendance Tracker'!B50</f>
        <v/>
      </c>
      <c r="C13" s="17">
        <f>'Attendance Tracker'!C50</f>
        <v/>
      </c>
      <c r="D13" s="17">
        <f>'Attendance Tracker'!D50</f>
        <v/>
      </c>
      <c r="E13" s="17">
        <f>'Attendance Tracker'!E50</f>
        <v/>
      </c>
      <c r="F13" s="17">
        <f>'Attendance Tracker'!F50</f>
        <v/>
      </c>
      <c r="G13" s="17">
        <f>'Attendance Tracker'!G50</f>
        <v/>
      </c>
    </row>
    <row r="14">
      <c r="A14" s="22">
        <f>'Attendance Tracker'!A51</f>
        <v/>
      </c>
      <c r="B14" s="17">
        <f>'Attendance Tracker'!B51</f>
        <v/>
      </c>
      <c r="C14" s="17">
        <f>'Attendance Tracker'!C51</f>
        <v/>
      </c>
      <c r="D14" s="17">
        <f>'Attendance Tracker'!D51</f>
        <v/>
      </c>
      <c r="E14" s="17">
        <f>'Attendance Tracker'!E51</f>
        <v/>
      </c>
      <c r="F14" s="17">
        <f>'Attendance Tracker'!F51</f>
        <v/>
      </c>
      <c r="G14" s="17">
        <f>'Attendance Tracker'!G51</f>
        <v/>
      </c>
    </row>
    <row r="15">
      <c r="A15" s="22">
        <f>'Attendance Tracker'!A52</f>
        <v/>
      </c>
      <c r="B15" s="17">
        <f>'Attendance Tracker'!B52</f>
        <v/>
      </c>
      <c r="C15" s="17">
        <f>'Attendance Tracker'!C52</f>
        <v/>
      </c>
      <c r="D15" s="17">
        <f>'Attendance Tracker'!D52</f>
        <v/>
      </c>
      <c r="E15" s="17">
        <f>'Attendance Tracker'!E52</f>
        <v/>
      </c>
      <c r="F15" s="17">
        <f>'Attendance Tracker'!F52</f>
        <v/>
      </c>
      <c r="G15" s="17">
        <f>'Attendance Tracker'!G52</f>
        <v/>
      </c>
    </row>
    <row r="16">
      <c r="A16" s="22">
        <f>'Attendance Tracker'!A53</f>
        <v/>
      </c>
      <c r="B16" s="17">
        <f>'Attendance Tracker'!B53</f>
        <v/>
      </c>
      <c r="C16" s="17">
        <f>'Attendance Tracker'!C53</f>
        <v/>
      </c>
      <c r="D16" s="17">
        <f>'Attendance Tracker'!D53</f>
        <v/>
      </c>
      <c r="E16" s="17">
        <f>'Attendance Tracker'!E53</f>
        <v/>
      </c>
      <c r="F16" s="17">
        <f>'Attendance Tracker'!F53</f>
        <v/>
      </c>
      <c r="G16" s="17">
        <f>'Attendance Tracker'!G53</f>
        <v/>
      </c>
    </row>
    <row r="17">
      <c r="A17" s="22">
        <f>'Attendance Tracker'!A54</f>
        <v/>
      </c>
      <c r="B17" s="17">
        <f>'Attendance Tracker'!B54</f>
        <v/>
      </c>
      <c r="C17" s="17">
        <f>'Attendance Tracker'!C54</f>
        <v/>
      </c>
      <c r="D17" s="17">
        <f>'Attendance Tracker'!D54</f>
        <v/>
      </c>
      <c r="E17" s="17">
        <f>'Attendance Tracker'!E54</f>
        <v/>
      </c>
      <c r="F17" s="17">
        <f>'Attendance Tracker'!F54</f>
        <v/>
      </c>
      <c r="G17" s="17">
        <f>'Attendance Tracker'!G54</f>
        <v/>
      </c>
    </row>
    <row r="18">
      <c r="A18" s="22">
        <f>'Attendance Tracker'!A55</f>
        <v/>
      </c>
      <c r="B18" s="17">
        <f>'Attendance Tracker'!B55</f>
        <v/>
      </c>
      <c r="C18" s="17">
        <f>'Attendance Tracker'!C55</f>
        <v/>
      </c>
      <c r="D18" s="17">
        <f>'Attendance Tracker'!D55</f>
        <v/>
      </c>
      <c r="E18" s="17">
        <f>'Attendance Tracker'!E55</f>
        <v/>
      </c>
      <c r="F18" s="17">
        <f>'Attendance Tracker'!F55</f>
        <v/>
      </c>
      <c r="G18" s="17">
        <f>'Attendance Tracker'!G55</f>
        <v/>
      </c>
    </row>
    <row r="19">
      <c r="A19" s="22">
        <f>'Attendance Tracker'!A56</f>
        <v/>
      </c>
      <c r="B19" s="17">
        <f>'Attendance Tracker'!B56</f>
        <v/>
      </c>
      <c r="C19" s="17">
        <f>'Attendance Tracker'!C56</f>
        <v/>
      </c>
      <c r="D19" s="17">
        <f>'Attendance Tracker'!D56</f>
        <v/>
      </c>
      <c r="E19" s="17">
        <f>'Attendance Tracker'!E56</f>
        <v/>
      </c>
      <c r="F19" s="17">
        <f>'Attendance Tracker'!F56</f>
        <v/>
      </c>
      <c r="G19" s="17">
        <f>'Attendance Tracker'!G56</f>
        <v/>
      </c>
    </row>
    <row r="20">
      <c r="A20" s="22">
        <f>'Attendance Tracker'!A57</f>
        <v/>
      </c>
      <c r="B20" s="17">
        <f>'Attendance Tracker'!B57</f>
        <v/>
      </c>
      <c r="C20" s="17">
        <f>'Attendance Tracker'!C57</f>
        <v/>
      </c>
      <c r="D20" s="17">
        <f>'Attendance Tracker'!D57</f>
        <v/>
      </c>
      <c r="E20" s="17">
        <f>'Attendance Tracker'!E57</f>
        <v/>
      </c>
      <c r="F20" s="17">
        <f>'Attendance Tracker'!F57</f>
        <v/>
      </c>
      <c r="G20" s="17">
        <f>'Attendance Tracker'!G57</f>
        <v/>
      </c>
    </row>
    <row r="21">
      <c r="A21" s="22">
        <f>'Attendance Tracker'!A58</f>
        <v/>
      </c>
      <c r="B21" s="17">
        <f>'Attendance Tracker'!B58</f>
        <v/>
      </c>
      <c r="C21" s="17">
        <f>'Attendance Tracker'!C58</f>
        <v/>
      </c>
      <c r="D21" s="17">
        <f>'Attendance Tracker'!D58</f>
        <v/>
      </c>
      <c r="E21" s="17">
        <f>'Attendance Tracker'!E58</f>
        <v/>
      </c>
      <c r="F21" s="17">
        <f>'Attendance Tracker'!F58</f>
        <v/>
      </c>
      <c r="G21" s="17">
        <f>'Attendance Tracker'!G58</f>
        <v/>
      </c>
    </row>
    <row r="22">
      <c r="A22" s="22">
        <f>'Attendance Tracker'!A59</f>
        <v/>
      </c>
      <c r="B22" s="17">
        <f>'Attendance Tracker'!B59</f>
        <v/>
      </c>
      <c r="C22" s="17">
        <f>'Attendance Tracker'!C59</f>
        <v/>
      </c>
      <c r="D22" s="17">
        <f>'Attendance Tracker'!D59</f>
        <v/>
      </c>
      <c r="E22" s="17">
        <f>'Attendance Tracker'!E59</f>
        <v/>
      </c>
      <c r="F22" s="17">
        <f>'Attendance Tracker'!F59</f>
        <v/>
      </c>
      <c r="G22" s="17">
        <f>'Attendance Tracker'!G59</f>
        <v/>
      </c>
    </row>
    <row r="23">
      <c r="A23" s="22">
        <f>'Attendance Tracker'!A60</f>
        <v/>
      </c>
      <c r="B23" s="17">
        <f>'Attendance Tracker'!B60</f>
        <v/>
      </c>
      <c r="C23" s="17">
        <f>'Attendance Tracker'!C60</f>
        <v/>
      </c>
      <c r="D23" s="17">
        <f>'Attendance Tracker'!D60</f>
        <v/>
      </c>
      <c r="E23" s="17">
        <f>'Attendance Tracker'!E60</f>
        <v/>
      </c>
      <c r="F23" s="17">
        <f>'Attendance Tracker'!F60</f>
        <v/>
      </c>
      <c r="G23" s="17">
        <f>'Attendance Tracker'!G60</f>
        <v/>
      </c>
    </row>
    <row r="24">
      <c r="A24" s="22">
        <f>'Attendance Tracker'!A61</f>
        <v/>
      </c>
      <c r="B24" s="17">
        <f>'Attendance Tracker'!B61</f>
        <v/>
      </c>
      <c r="C24" s="17">
        <f>'Attendance Tracker'!C61</f>
        <v/>
      </c>
      <c r="D24" s="17">
        <f>'Attendance Tracker'!D61</f>
        <v/>
      </c>
      <c r="E24" s="17">
        <f>'Attendance Tracker'!E61</f>
        <v/>
      </c>
      <c r="F24" s="17">
        <f>'Attendance Tracker'!F61</f>
        <v/>
      </c>
      <c r="G24" s="17">
        <f>'Attendance Tracker'!G61</f>
        <v/>
      </c>
    </row>
    <row r="25">
      <c r="A25" s="22">
        <f>'Attendance Tracker'!A62</f>
        <v/>
      </c>
      <c r="B25" s="17">
        <f>'Attendance Tracker'!B62</f>
        <v/>
      </c>
      <c r="C25" s="17">
        <f>'Attendance Tracker'!C62</f>
        <v/>
      </c>
      <c r="D25" s="17">
        <f>'Attendance Tracker'!D62</f>
        <v/>
      </c>
      <c r="E25" s="17">
        <f>'Attendance Tracker'!E62</f>
        <v/>
      </c>
      <c r="F25" s="17">
        <f>'Attendance Tracker'!F62</f>
        <v/>
      </c>
      <c r="G25" s="17">
        <f>'Attendance Tracker'!G62</f>
        <v/>
      </c>
    </row>
    <row r="26">
      <c r="A26" s="22">
        <f>'Attendance Tracker'!A63</f>
        <v/>
      </c>
      <c r="B26" s="17">
        <f>'Attendance Tracker'!B63</f>
        <v/>
      </c>
      <c r="C26" s="17">
        <f>'Attendance Tracker'!C63</f>
        <v/>
      </c>
      <c r="D26" s="17">
        <f>'Attendance Tracker'!D63</f>
        <v/>
      </c>
      <c r="E26" s="17">
        <f>'Attendance Tracker'!E63</f>
        <v/>
      </c>
      <c r="F26" s="17">
        <f>'Attendance Tracker'!F63</f>
        <v/>
      </c>
      <c r="G26" s="17">
        <f>'Attendance Tracker'!G63</f>
        <v/>
      </c>
    </row>
    <row r="27">
      <c r="A27" s="22">
        <f>'Attendance Tracker'!A64</f>
        <v/>
      </c>
      <c r="B27" s="17">
        <f>'Attendance Tracker'!B64</f>
        <v/>
      </c>
      <c r="C27" s="17">
        <f>'Attendance Tracker'!C64</f>
        <v/>
      </c>
      <c r="D27" s="17">
        <f>'Attendance Tracker'!D64</f>
        <v/>
      </c>
      <c r="E27" s="17">
        <f>'Attendance Tracker'!E64</f>
        <v/>
      </c>
      <c r="F27" s="17">
        <f>'Attendance Tracker'!F64</f>
        <v/>
      </c>
      <c r="G27" s="17">
        <f>'Attendance Tracker'!G64</f>
        <v/>
      </c>
    </row>
    <row r="28">
      <c r="A28" s="22">
        <f>'Attendance Tracker'!A65</f>
        <v/>
      </c>
      <c r="B28" s="17">
        <f>'Attendance Tracker'!B65</f>
        <v/>
      </c>
      <c r="C28" s="17">
        <f>'Attendance Tracker'!C65</f>
        <v/>
      </c>
      <c r="D28" s="17">
        <f>'Attendance Tracker'!D65</f>
        <v/>
      </c>
      <c r="E28" s="17">
        <f>'Attendance Tracker'!E65</f>
        <v/>
      </c>
      <c r="F28" s="17">
        <f>'Attendance Tracker'!F65</f>
        <v/>
      </c>
      <c r="G28" s="17">
        <f>'Attendance Tracker'!G65</f>
        <v/>
      </c>
    </row>
    <row r="29">
      <c r="A29" s="22">
        <f>'Attendance Tracker'!A66</f>
        <v/>
      </c>
      <c r="B29" s="17">
        <f>'Attendance Tracker'!B66</f>
        <v/>
      </c>
      <c r="C29" s="17">
        <f>'Attendance Tracker'!C66</f>
        <v/>
      </c>
      <c r="D29" s="17">
        <f>'Attendance Tracker'!D66</f>
        <v/>
      </c>
      <c r="E29" s="17">
        <f>'Attendance Tracker'!E66</f>
        <v/>
      </c>
      <c r="F29" s="17">
        <f>'Attendance Tracker'!F66</f>
        <v/>
      </c>
      <c r="G29" s="17">
        <f>'Attendance Tracker'!G66</f>
        <v/>
      </c>
    </row>
    <row r="30">
      <c r="A30" s="22">
        <f>'Attendance Tracker'!A67</f>
        <v/>
      </c>
      <c r="B30" s="17">
        <f>'Attendance Tracker'!B67</f>
        <v/>
      </c>
      <c r="C30" s="17">
        <f>'Attendance Tracker'!C67</f>
        <v/>
      </c>
      <c r="D30" s="17">
        <f>'Attendance Tracker'!D67</f>
        <v/>
      </c>
      <c r="E30" s="17">
        <f>'Attendance Tracker'!E67</f>
        <v/>
      </c>
      <c r="F30" s="17">
        <f>'Attendance Tracker'!F67</f>
        <v/>
      </c>
      <c r="G30" s="17">
        <f>'Attendance Tracker'!G67</f>
        <v/>
      </c>
    </row>
    <row r="31">
      <c r="A31" s="22">
        <f>'Attendance Tracker'!A68</f>
        <v/>
      </c>
      <c r="B31" s="17">
        <f>'Attendance Tracker'!B68</f>
        <v/>
      </c>
      <c r="C31" s="17">
        <f>'Attendance Tracker'!C68</f>
        <v/>
      </c>
      <c r="D31" s="17">
        <f>'Attendance Tracker'!D68</f>
        <v/>
      </c>
      <c r="E31" s="17">
        <f>'Attendance Tracker'!E68</f>
        <v/>
      </c>
      <c r="F31" s="17">
        <f>'Attendance Tracker'!F68</f>
        <v/>
      </c>
      <c r="G31" s="17">
        <f>'Attendance Tracker'!G68</f>
        <v/>
      </c>
    </row>
    <row r="32">
      <c r="A32" s="22">
        <f>'Attendance Tracker'!A69</f>
        <v/>
      </c>
      <c r="B32" s="17">
        <f>'Attendance Tracker'!B69</f>
        <v/>
      </c>
      <c r="C32" s="17">
        <f>'Attendance Tracker'!C69</f>
        <v/>
      </c>
      <c r="D32" s="17">
        <f>'Attendance Tracker'!D69</f>
        <v/>
      </c>
      <c r="E32" s="17">
        <f>'Attendance Tracker'!E69</f>
        <v/>
      </c>
      <c r="F32" s="17">
        <f>'Attendance Tracker'!F69</f>
        <v/>
      </c>
      <c r="G32" s="17">
        <f>'Attendance Tracker'!G69</f>
        <v/>
      </c>
    </row>
    <row r="33">
      <c r="A33" s="22">
        <f>'Attendance Tracker'!A70</f>
        <v/>
      </c>
      <c r="B33" s="17">
        <f>'Attendance Tracker'!B70</f>
        <v/>
      </c>
      <c r="C33" s="17">
        <f>'Attendance Tracker'!C70</f>
        <v/>
      </c>
      <c r="D33" s="17">
        <f>'Attendance Tracker'!D70</f>
        <v/>
      </c>
      <c r="E33" s="17">
        <f>'Attendance Tracker'!E70</f>
        <v/>
      </c>
      <c r="F33" s="17">
        <f>'Attendance Tracker'!F70</f>
        <v/>
      </c>
      <c r="G33" s="17">
        <f>'Attendance Tracker'!G70</f>
        <v/>
      </c>
    </row>
  </sheetData>
  <autoFilter ref="A3:G33"/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8" customWidth="1" min="3" max="3"/>
    <col width="14" customWidth="1" min="4" max="4"/>
    <col width="28" customWidth="1" min="5" max="5"/>
    <col width="10" customWidth="1" min="6" max="6"/>
    <col width="10" customWidth="1" min="7" max="7"/>
  </cols>
  <sheetData>
    <row r="1">
      <c r="A1" s="21" t="inlineStr">
        <is>
          <t>MERN STACK COURSE — MONTH 3 ATTENDANCE</t>
        </is>
      </c>
    </row>
    <row r="3">
      <c r="A3" s="16" t="inlineStr">
        <is>
          <t>Date</t>
        </is>
      </c>
      <c r="B3" s="16" t="inlineStr">
        <is>
          <t>Day</t>
        </is>
      </c>
      <c r="C3" s="16" t="inlineStr">
        <is>
          <t>Topic / Module</t>
        </is>
      </c>
      <c r="D3" s="16" t="inlineStr">
        <is>
          <t>Attendance</t>
        </is>
      </c>
      <c r="E3" s="16" t="inlineStr">
        <is>
          <t>Remarks</t>
        </is>
      </c>
      <c r="F3" s="16" t="inlineStr">
        <is>
          <t>Present</t>
        </is>
      </c>
      <c r="G3" s="16" t="inlineStr">
        <is>
          <t>Absent</t>
        </is>
      </c>
    </row>
    <row r="4">
      <c r="A4" s="22">
        <f>'Attendance Tracker'!A71</f>
        <v/>
      </c>
      <c r="B4" s="17">
        <f>'Attendance Tracker'!B71</f>
        <v/>
      </c>
      <c r="C4" s="17">
        <f>'Attendance Tracker'!C71</f>
        <v/>
      </c>
      <c r="D4" s="17">
        <f>'Attendance Tracker'!D71</f>
        <v/>
      </c>
      <c r="E4" s="17">
        <f>'Attendance Tracker'!E71</f>
        <v/>
      </c>
      <c r="F4" s="17">
        <f>'Attendance Tracker'!F71</f>
        <v/>
      </c>
      <c r="G4" s="17">
        <f>'Attendance Tracker'!G71</f>
        <v/>
      </c>
    </row>
    <row r="5">
      <c r="A5" s="22">
        <f>'Attendance Tracker'!A72</f>
        <v/>
      </c>
      <c r="B5" s="17">
        <f>'Attendance Tracker'!B72</f>
        <v/>
      </c>
      <c r="C5" s="17">
        <f>'Attendance Tracker'!C72</f>
        <v/>
      </c>
      <c r="D5" s="17">
        <f>'Attendance Tracker'!D72</f>
        <v/>
      </c>
      <c r="E5" s="17">
        <f>'Attendance Tracker'!E72</f>
        <v/>
      </c>
      <c r="F5" s="17">
        <f>'Attendance Tracker'!F72</f>
        <v/>
      </c>
      <c r="G5" s="17">
        <f>'Attendance Tracker'!G72</f>
        <v/>
      </c>
    </row>
    <row r="6">
      <c r="A6" s="22">
        <f>'Attendance Tracker'!A73</f>
        <v/>
      </c>
      <c r="B6" s="17">
        <f>'Attendance Tracker'!B73</f>
        <v/>
      </c>
      <c r="C6" s="17">
        <f>'Attendance Tracker'!C73</f>
        <v/>
      </c>
      <c r="D6" s="17">
        <f>'Attendance Tracker'!D73</f>
        <v/>
      </c>
      <c r="E6" s="17">
        <f>'Attendance Tracker'!E73</f>
        <v/>
      </c>
      <c r="F6" s="17">
        <f>'Attendance Tracker'!F73</f>
        <v/>
      </c>
      <c r="G6" s="17">
        <f>'Attendance Tracker'!G73</f>
        <v/>
      </c>
    </row>
    <row r="7">
      <c r="A7" s="22">
        <f>'Attendance Tracker'!A74</f>
        <v/>
      </c>
      <c r="B7" s="17">
        <f>'Attendance Tracker'!B74</f>
        <v/>
      </c>
      <c r="C7" s="17">
        <f>'Attendance Tracker'!C74</f>
        <v/>
      </c>
      <c r="D7" s="17">
        <f>'Attendance Tracker'!D74</f>
        <v/>
      </c>
      <c r="E7" s="17">
        <f>'Attendance Tracker'!E74</f>
        <v/>
      </c>
      <c r="F7" s="17">
        <f>'Attendance Tracker'!F74</f>
        <v/>
      </c>
      <c r="G7" s="17">
        <f>'Attendance Tracker'!G74</f>
        <v/>
      </c>
    </row>
    <row r="8">
      <c r="A8" s="22">
        <f>'Attendance Tracker'!A75</f>
        <v/>
      </c>
      <c r="B8" s="17">
        <f>'Attendance Tracker'!B75</f>
        <v/>
      </c>
      <c r="C8" s="17">
        <f>'Attendance Tracker'!C75</f>
        <v/>
      </c>
      <c r="D8" s="17">
        <f>'Attendance Tracker'!D75</f>
        <v/>
      </c>
      <c r="E8" s="17">
        <f>'Attendance Tracker'!E75</f>
        <v/>
      </c>
      <c r="F8" s="17">
        <f>'Attendance Tracker'!F75</f>
        <v/>
      </c>
      <c r="G8" s="17">
        <f>'Attendance Tracker'!G75</f>
        <v/>
      </c>
    </row>
    <row r="9">
      <c r="A9" s="22">
        <f>'Attendance Tracker'!A76</f>
        <v/>
      </c>
      <c r="B9" s="17">
        <f>'Attendance Tracker'!B76</f>
        <v/>
      </c>
      <c r="C9" s="17">
        <f>'Attendance Tracker'!C76</f>
        <v/>
      </c>
      <c r="D9" s="17">
        <f>'Attendance Tracker'!D76</f>
        <v/>
      </c>
      <c r="E9" s="17">
        <f>'Attendance Tracker'!E76</f>
        <v/>
      </c>
      <c r="F9" s="17">
        <f>'Attendance Tracker'!F76</f>
        <v/>
      </c>
      <c r="G9" s="17">
        <f>'Attendance Tracker'!G76</f>
        <v/>
      </c>
    </row>
    <row r="10">
      <c r="A10" s="22">
        <f>'Attendance Tracker'!A77</f>
        <v/>
      </c>
      <c r="B10" s="17">
        <f>'Attendance Tracker'!B77</f>
        <v/>
      </c>
      <c r="C10" s="17">
        <f>'Attendance Tracker'!C77</f>
        <v/>
      </c>
      <c r="D10" s="17">
        <f>'Attendance Tracker'!D77</f>
        <v/>
      </c>
      <c r="E10" s="17">
        <f>'Attendance Tracker'!E77</f>
        <v/>
      </c>
      <c r="F10" s="17">
        <f>'Attendance Tracker'!F77</f>
        <v/>
      </c>
      <c r="G10" s="17">
        <f>'Attendance Tracker'!G77</f>
        <v/>
      </c>
    </row>
    <row r="11">
      <c r="A11" s="22">
        <f>'Attendance Tracker'!A78</f>
        <v/>
      </c>
      <c r="B11" s="17">
        <f>'Attendance Tracker'!B78</f>
        <v/>
      </c>
      <c r="C11" s="17">
        <f>'Attendance Tracker'!C78</f>
        <v/>
      </c>
      <c r="D11" s="17">
        <f>'Attendance Tracker'!D78</f>
        <v/>
      </c>
      <c r="E11" s="17">
        <f>'Attendance Tracker'!E78</f>
        <v/>
      </c>
      <c r="F11" s="17">
        <f>'Attendance Tracker'!F78</f>
        <v/>
      </c>
      <c r="G11" s="17">
        <f>'Attendance Tracker'!G78</f>
        <v/>
      </c>
    </row>
    <row r="12">
      <c r="A12" s="22">
        <f>'Attendance Tracker'!A79</f>
        <v/>
      </c>
      <c r="B12" s="17">
        <f>'Attendance Tracker'!B79</f>
        <v/>
      </c>
      <c r="C12" s="17">
        <f>'Attendance Tracker'!C79</f>
        <v/>
      </c>
      <c r="D12" s="17">
        <f>'Attendance Tracker'!D79</f>
        <v/>
      </c>
      <c r="E12" s="17">
        <f>'Attendance Tracker'!E79</f>
        <v/>
      </c>
      <c r="F12" s="17">
        <f>'Attendance Tracker'!F79</f>
        <v/>
      </c>
      <c r="G12" s="17">
        <f>'Attendance Tracker'!G79</f>
        <v/>
      </c>
    </row>
    <row r="13">
      <c r="A13" s="22">
        <f>'Attendance Tracker'!A80</f>
        <v/>
      </c>
      <c r="B13" s="17">
        <f>'Attendance Tracker'!B80</f>
        <v/>
      </c>
      <c r="C13" s="17">
        <f>'Attendance Tracker'!C80</f>
        <v/>
      </c>
      <c r="D13" s="17">
        <f>'Attendance Tracker'!D80</f>
        <v/>
      </c>
      <c r="E13" s="17">
        <f>'Attendance Tracker'!E80</f>
        <v/>
      </c>
      <c r="F13" s="17">
        <f>'Attendance Tracker'!F80</f>
        <v/>
      </c>
      <c r="G13" s="17">
        <f>'Attendance Tracker'!G80</f>
        <v/>
      </c>
    </row>
    <row r="14">
      <c r="A14" s="22">
        <f>'Attendance Tracker'!A81</f>
        <v/>
      </c>
      <c r="B14" s="17">
        <f>'Attendance Tracker'!B81</f>
        <v/>
      </c>
      <c r="C14" s="17">
        <f>'Attendance Tracker'!C81</f>
        <v/>
      </c>
      <c r="D14" s="17">
        <f>'Attendance Tracker'!D81</f>
        <v/>
      </c>
      <c r="E14" s="17">
        <f>'Attendance Tracker'!E81</f>
        <v/>
      </c>
      <c r="F14" s="17">
        <f>'Attendance Tracker'!F81</f>
        <v/>
      </c>
      <c r="G14" s="17">
        <f>'Attendance Tracker'!G81</f>
        <v/>
      </c>
    </row>
    <row r="15">
      <c r="A15" s="22">
        <f>'Attendance Tracker'!A82</f>
        <v/>
      </c>
      <c r="B15" s="17">
        <f>'Attendance Tracker'!B82</f>
        <v/>
      </c>
      <c r="C15" s="17">
        <f>'Attendance Tracker'!C82</f>
        <v/>
      </c>
      <c r="D15" s="17">
        <f>'Attendance Tracker'!D82</f>
        <v/>
      </c>
      <c r="E15" s="17">
        <f>'Attendance Tracker'!E82</f>
        <v/>
      </c>
      <c r="F15" s="17">
        <f>'Attendance Tracker'!F82</f>
        <v/>
      </c>
      <c r="G15" s="17">
        <f>'Attendance Tracker'!G82</f>
        <v/>
      </c>
    </row>
    <row r="16">
      <c r="A16" s="22">
        <f>'Attendance Tracker'!A83</f>
        <v/>
      </c>
      <c r="B16" s="17">
        <f>'Attendance Tracker'!B83</f>
        <v/>
      </c>
      <c r="C16" s="17">
        <f>'Attendance Tracker'!C83</f>
        <v/>
      </c>
      <c r="D16" s="17">
        <f>'Attendance Tracker'!D83</f>
        <v/>
      </c>
      <c r="E16" s="17">
        <f>'Attendance Tracker'!E83</f>
        <v/>
      </c>
      <c r="F16" s="17">
        <f>'Attendance Tracker'!F83</f>
        <v/>
      </c>
      <c r="G16" s="17">
        <f>'Attendance Tracker'!G83</f>
        <v/>
      </c>
    </row>
    <row r="17">
      <c r="A17" s="22">
        <f>'Attendance Tracker'!A84</f>
        <v/>
      </c>
      <c r="B17" s="17">
        <f>'Attendance Tracker'!B84</f>
        <v/>
      </c>
      <c r="C17" s="17">
        <f>'Attendance Tracker'!C84</f>
        <v/>
      </c>
      <c r="D17" s="17">
        <f>'Attendance Tracker'!D84</f>
        <v/>
      </c>
      <c r="E17" s="17">
        <f>'Attendance Tracker'!E84</f>
        <v/>
      </c>
      <c r="F17" s="17">
        <f>'Attendance Tracker'!F84</f>
        <v/>
      </c>
      <c r="G17" s="17">
        <f>'Attendance Tracker'!G84</f>
        <v/>
      </c>
    </row>
    <row r="18">
      <c r="A18" s="22">
        <f>'Attendance Tracker'!A85</f>
        <v/>
      </c>
      <c r="B18" s="17">
        <f>'Attendance Tracker'!B85</f>
        <v/>
      </c>
      <c r="C18" s="17">
        <f>'Attendance Tracker'!C85</f>
        <v/>
      </c>
      <c r="D18" s="17">
        <f>'Attendance Tracker'!D85</f>
        <v/>
      </c>
      <c r="E18" s="17">
        <f>'Attendance Tracker'!E85</f>
        <v/>
      </c>
      <c r="F18" s="17">
        <f>'Attendance Tracker'!F85</f>
        <v/>
      </c>
      <c r="G18" s="17">
        <f>'Attendance Tracker'!G85</f>
        <v/>
      </c>
    </row>
    <row r="19">
      <c r="A19" s="22">
        <f>'Attendance Tracker'!A86</f>
        <v/>
      </c>
      <c r="B19" s="17">
        <f>'Attendance Tracker'!B86</f>
        <v/>
      </c>
      <c r="C19" s="17">
        <f>'Attendance Tracker'!C86</f>
        <v/>
      </c>
      <c r="D19" s="17">
        <f>'Attendance Tracker'!D86</f>
        <v/>
      </c>
      <c r="E19" s="17">
        <f>'Attendance Tracker'!E86</f>
        <v/>
      </c>
      <c r="F19" s="17">
        <f>'Attendance Tracker'!F86</f>
        <v/>
      </c>
      <c r="G19" s="17">
        <f>'Attendance Tracker'!G86</f>
        <v/>
      </c>
    </row>
    <row r="20">
      <c r="A20" s="22">
        <f>'Attendance Tracker'!A87</f>
        <v/>
      </c>
      <c r="B20" s="17">
        <f>'Attendance Tracker'!B87</f>
        <v/>
      </c>
      <c r="C20" s="17">
        <f>'Attendance Tracker'!C87</f>
        <v/>
      </c>
      <c r="D20" s="17">
        <f>'Attendance Tracker'!D87</f>
        <v/>
      </c>
      <c r="E20" s="17">
        <f>'Attendance Tracker'!E87</f>
        <v/>
      </c>
      <c r="F20" s="17">
        <f>'Attendance Tracker'!F87</f>
        <v/>
      </c>
      <c r="G20" s="17">
        <f>'Attendance Tracker'!G87</f>
        <v/>
      </c>
    </row>
    <row r="21">
      <c r="A21" s="22">
        <f>'Attendance Tracker'!A88</f>
        <v/>
      </c>
      <c r="B21" s="17">
        <f>'Attendance Tracker'!B88</f>
        <v/>
      </c>
      <c r="C21" s="17">
        <f>'Attendance Tracker'!C88</f>
        <v/>
      </c>
      <c r="D21" s="17">
        <f>'Attendance Tracker'!D88</f>
        <v/>
      </c>
      <c r="E21" s="17">
        <f>'Attendance Tracker'!E88</f>
        <v/>
      </c>
      <c r="F21" s="17">
        <f>'Attendance Tracker'!F88</f>
        <v/>
      </c>
      <c r="G21" s="17">
        <f>'Attendance Tracker'!G88</f>
        <v/>
      </c>
    </row>
    <row r="22">
      <c r="A22" s="22">
        <f>'Attendance Tracker'!A89</f>
        <v/>
      </c>
      <c r="B22" s="17">
        <f>'Attendance Tracker'!B89</f>
        <v/>
      </c>
      <c r="C22" s="17">
        <f>'Attendance Tracker'!C89</f>
        <v/>
      </c>
      <c r="D22" s="17">
        <f>'Attendance Tracker'!D89</f>
        <v/>
      </c>
      <c r="E22" s="17">
        <f>'Attendance Tracker'!E89</f>
        <v/>
      </c>
      <c r="F22" s="17">
        <f>'Attendance Tracker'!F89</f>
        <v/>
      </c>
      <c r="G22" s="17">
        <f>'Attendance Tracker'!G89</f>
        <v/>
      </c>
    </row>
    <row r="23">
      <c r="A23" s="22">
        <f>'Attendance Tracker'!A90</f>
        <v/>
      </c>
      <c r="B23" s="17">
        <f>'Attendance Tracker'!B90</f>
        <v/>
      </c>
      <c r="C23" s="17">
        <f>'Attendance Tracker'!C90</f>
        <v/>
      </c>
      <c r="D23" s="17">
        <f>'Attendance Tracker'!D90</f>
        <v/>
      </c>
      <c r="E23" s="17">
        <f>'Attendance Tracker'!E90</f>
        <v/>
      </c>
      <c r="F23" s="17">
        <f>'Attendance Tracker'!F90</f>
        <v/>
      </c>
      <c r="G23" s="17">
        <f>'Attendance Tracker'!G90</f>
        <v/>
      </c>
    </row>
    <row r="24">
      <c r="A24" s="22">
        <f>'Attendance Tracker'!A91</f>
        <v/>
      </c>
      <c r="B24" s="17">
        <f>'Attendance Tracker'!B91</f>
        <v/>
      </c>
      <c r="C24" s="17">
        <f>'Attendance Tracker'!C91</f>
        <v/>
      </c>
      <c r="D24" s="17">
        <f>'Attendance Tracker'!D91</f>
        <v/>
      </c>
      <c r="E24" s="17">
        <f>'Attendance Tracker'!E91</f>
        <v/>
      </c>
      <c r="F24" s="17">
        <f>'Attendance Tracker'!F91</f>
        <v/>
      </c>
      <c r="G24" s="17">
        <f>'Attendance Tracker'!G91</f>
        <v/>
      </c>
    </row>
    <row r="25">
      <c r="A25" s="22">
        <f>'Attendance Tracker'!A92</f>
        <v/>
      </c>
      <c r="B25" s="17">
        <f>'Attendance Tracker'!B92</f>
        <v/>
      </c>
      <c r="C25" s="17">
        <f>'Attendance Tracker'!C92</f>
        <v/>
      </c>
      <c r="D25" s="17">
        <f>'Attendance Tracker'!D92</f>
        <v/>
      </c>
      <c r="E25" s="17">
        <f>'Attendance Tracker'!E92</f>
        <v/>
      </c>
      <c r="F25" s="17">
        <f>'Attendance Tracker'!F92</f>
        <v/>
      </c>
      <c r="G25" s="17">
        <f>'Attendance Tracker'!G92</f>
        <v/>
      </c>
    </row>
    <row r="26">
      <c r="A26" s="22">
        <f>'Attendance Tracker'!A93</f>
        <v/>
      </c>
      <c r="B26" s="17">
        <f>'Attendance Tracker'!B93</f>
        <v/>
      </c>
      <c r="C26" s="17">
        <f>'Attendance Tracker'!C93</f>
        <v/>
      </c>
      <c r="D26" s="17">
        <f>'Attendance Tracker'!D93</f>
        <v/>
      </c>
      <c r="E26" s="17">
        <f>'Attendance Tracker'!E93</f>
        <v/>
      </c>
      <c r="F26" s="17">
        <f>'Attendance Tracker'!F93</f>
        <v/>
      </c>
      <c r="G26" s="17">
        <f>'Attendance Tracker'!G93</f>
        <v/>
      </c>
    </row>
    <row r="27">
      <c r="A27" s="22">
        <f>'Attendance Tracker'!A94</f>
        <v/>
      </c>
      <c r="B27" s="17">
        <f>'Attendance Tracker'!B94</f>
        <v/>
      </c>
      <c r="C27" s="17">
        <f>'Attendance Tracker'!C94</f>
        <v/>
      </c>
      <c r="D27" s="17">
        <f>'Attendance Tracker'!D94</f>
        <v/>
      </c>
      <c r="E27" s="17">
        <f>'Attendance Tracker'!E94</f>
        <v/>
      </c>
      <c r="F27" s="17">
        <f>'Attendance Tracker'!F94</f>
        <v/>
      </c>
      <c r="G27" s="17">
        <f>'Attendance Tracker'!G94</f>
        <v/>
      </c>
    </row>
    <row r="28">
      <c r="A28" s="22">
        <f>'Attendance Tracker'!A95</f>
        <v/>
      </c>
      <c r="B28" s="17">
        <f>'Attendance Tracker'!B95</f>
        <v/>
      </c>
      <c r="C28" s="17">
        <f>'Attendance Tracker'!C95</f>
        <v/>
      </c>
      <c r="D28" s="17">
        <f>'Attendance Tracker'!D95</f>
        <v/>
      </c>
      <c r="E28" s="17">
        <f>'Attendance Tracker'!E95</f>
        <v/>
      </c>
      <c r="F28" s="17">
        <f>'Attendance Tracker'!F95</f>
        <v/>
      </c>
      <c r="G28" s="17">
        <f>'Attendance Tracker'!G95</f>
        <v/>
      </c>
    </row>
    <row r="29">
      <c r="A29" s="22">
        <f>'Attendance Tracker'!A96</f>
        <v/>
      </c>
      <c r="B29" s="17">
        <f>'Attendance Tracker'!B96</f>
        <v/>
      </c>
      <c r="C29" s="17">
        <f>'Attendance Tracker'!C96</f>
        <v/>
      </c>
      <c r="D29" s="17">
        <f>'Attendance Tracker'!D96</f>
        <v/>
      </c>
      <c r="E29" s="17">
        <f>'Attendance Tracker'!E96</f>
        <v/>
      </c>
      <c r="F29" s="17">
        <f>'Attendance Tracker'!F96</f>
        <v/>
      </c>
      <c r="G29" s="17">
        <f>'Attendance Tracker'!G96</f>
        <v/>
      </c>
    </row>
    <row r="30">
      <c r="A30" s="22">
        <f>'Attendance Tracker'!A97</f>
        <v/>
      </c>
      <c r="B30" s="17">
        <f>'Attendance Tracker'!B97</f>
        <v/>
      </c>
      <c r="C30" s="17">
        <f>'Attendance Tracker'!C97</f>
        <v/>
      </c>
      <c r="D30" s="17">
        <f>'Attendance Tracker'!D97</f>
        <v/>
      </c>
      <c r="E30" s="17">
        <f>'Attendance Tracker'!E97</f>
        <v/>
      </c>
      <c r="F30" s="17">
        <f>'Attendance Tracker'!F97</f>
        <v/>
      </c>
      <c r="G30" s="17">
        <f>'Attendance Tracker'!G97</f>
        <v/>
      </c>
    </row>
    <row r="31">
      <c r="A31" s="22">
        <f>'Attendance Tracker'!A98</f>
        <v/>
      </c>
      <c r="B31" s="17">
        <f>'Attendance Tracker'!B98</f>
        <v/>
      </c>
      <c r="C31" s="17">
        <f>'Attendance Tracker'!C98</f>
        <v/>
      </c>
      <c r="D31" s="17">
        <f>'Attendance Tracker'!D98</f>
        <v/>
      </c>
      <c r="E31" s="17">
        <f>'Attendance Tracker'!E98</f>
        <v/>
      </c>
      <c r="F31" s="17">
        <f>'Attendance Tracker'!F98</f>
        <v/>
      </c>
      <c r="G31" s="17">
        <f>'Attendance Tracker'!G98</f>
        <v/>
      </c>
    </row>
    <row r="32">
      <c r="A32" s="22">
        <f>'Attendance Tracker'!A99</f>
        <v/>
      </c>
      <c r="B32" s="17">
        <f>'Attendance Tracker'!B99</f>
        <v/>
      </c>
      <c r="C32" s="17">
        <f>'Attendance Tracker'!C99</f>
        <v/>
      </c>
      <c r="D32" s="17">
        <f>'Attendance Tracker'!D99</f>
        <v/>
      </c>
      <c r="E32" s="17">
        <f>'Attendance Tracker'!E99</f>
        <v/>
      </c>
      <c r="F32" s="17">
        <f>'Attendance Tracker'!F99</f>
        <v/>
      </c>
      <c r="G32" s="17">
        <f>'Attendance Tracker'!G99</f>
        <v/>
      </c>
    </row>
    <row r="33">
      <c r="A33" s="22">
        <f>'Attendance Tracker'!A100</f>
        <v/>
      </c>
      <c r="B33" s="17">
        <f>'Attendance Tracker'!B100</f>
        <v/>
      </c>
      <c r="C33" s="17">
        <f>'Attendance Tracker'!C100</f>
        <v/>
      </c>
      <c r="D33" s="17">
        <f>'Attendance Tracker'!D100</f>
        <v/>
      </c>
      <c r="E33" s="17">
        <f>'Attendance Tracker'!E100</f>
        <v/>
      </c>
      <c r="F33" s="17">
        <f>'Attendance Tracker'!F100</f>
        <v/>
      </c>
      <c r="G33" s="17">
        <f>'Attendance Tracker'!G100</f>
        <v/>
      </c>
    </row>
  </sheetData>
  <autoFilter ref="A3:G33"/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8" customWidth="1" min="3" max="3"/>
    <col width="14" customWidth="1" min="4" max="4"/>
    <col width="28" customWidth="1" min="5" max="5"/>
    <col width="10" customWidth="1" min="6" max="6"/>
    <col width="10" customWidth="1" min="7" max="7"/>
  </cols>
  <sheetData>
    <row r="1">
      <c r="A1" s="21" t="inlineStr">
        <is>
          <t>MERN STACK COURSE — MONTH 4 ATTENDANCE</t>
        </is>
      </c>
    </row>
    <row r="3">
      <c r="A3" s="16" t="inlineStr">
        <is>
          <t>Date</t>
        </is>
      </c>
      <c r="B3" s="16" t="inlineStr">
        <is>
          <t>Day</t>
        </is>
      </c>
      <c r="C3" s="16" t="inlineStr">
        <is>
          <t>Topic / Module</t>
        </is>
      </c>
      <c r="D3" s="16" t="inlineStr">
        <is>
          <t>Attendance</t>
        </is>
      </c>
      <c r="E3" s="16" t="inlineStr">
        <is>
          <t>Remarks</t>
        </is>
      </c>
      <c r="F3" s="16" t="inlineStr">
        <is>
          <t>Present</t>
        </is>
      </c>
      <c r="G3" s="16" t="inlineStr">
        <is>
          <t>Absent</t>
        </is>
      </c>
    </row>
    <row r="4">
      <c r="A4" s="22">
        <f>'Attendance Tracker'!A101</f>
        <v/>
      </c>
      <c r="B4" s="17">
        <f>'Attendance Tracker'!B101</f>
        <v/>
      </c>
      <c r="C4" s="17">
        <f>'Attendance Tracker'!C101</f>
        <v/>
      </c>
      <c r="D4" s="17">
        <f>'Attendance Tracker'!D101</f>
        <v/>
      </c>
      <c r="E4" s="17">
        <f>'Attendance Tracker'!E101</f>
        <v/>
      </c>
      <c r="F4" s="17">
        <f>'Attendance Tracker'!F101</f>
        <v/>
      </c>
      <c r="G4" s="17">
        <f>'Attendance Tracker'!G101</f>
        <v/>
      </c>
    </row>
    <row r="5">
      <c r="A5" s="22">
        <f>'Attendance Tracker'!A102</f>
        <v/>
      </c>
      <c r="B5" s="17">
        <f>'Attendance Tracker'!B102</f>
        <v/>
      </c>
      <c r="C5" s="17">
        <f>'Attendance Tracker'!C102</f>
        <v/>
      </c>
      <c r="D5" s="17">
        <f>'Attendance Tracker'!D102</f>
        <v/>
      </c>
      <c r="E5" s="17">
        <f>'Attendance Tracker'!E102</f>
        <v/>
      </c>
      <c r="F5" s="17">
        <f>'Attendance Tracker'!F102</f>
        <v/>
      </c>
      <c r="G5" s="17">
        <f>'Attendance Tracker'!G102</f>
        <v/>
      </c>
    </row>
    <row r="6">
      <c r="A6" s="22">
        <f>'Attendance Tracker'!A103</f>
        <v/>
      </c>
      <c r="B6" s="17">
        <f>'Attendance Tracker'!B103</f>
        <v/>
      </c>
      <c r="C6" s="17">
        <f>'Attendance Tracker'!C103</f>
        <v/>
      </c>
      <c r="D6" s="17">
        <f>'Attendance Tracker'!D103</f>
        <v/>
      </c>
      <c r="E6" s="17">
        <f>'Attendance Tracker'!E103</f>
        <v/>
      </c>
      <c r="F6" s="17">
        <f>'Attendance Tracker'!F103</f>
        <v/>
      </c>
      <c r="G6" s="17">
        <f>'Attendance Tracker'!G103</f>
        <v/>
      </c>
    </row>
    <row r="7">
      <c r="A7" s="22">
        <f>'Attendance Tracker'!A104</f>
        <v/>
      </c>
      <c r="B7" s="17">
        <f>'Attendance Tracker'!B104</f>
        <v/>
      </c>
      <c r="C7" s="17">
        <f>'Attendance Tracker'!C104</f>
        <v/>
      </c>
      <c r="D7" s="17">
        <f>'Attendance Tracker'!D104</f>
        <v/>
      </c>
      <c r="E7" s="17">
        <f>'Attendance Tracker'!E104</f>
        <v/>
      </c>
      <c r="F7" s="17">
        <f>'Attendance Tracker'!F104</f>
        <v/>
      </c>
      <c r="G7" s="17">
        <f>'Attendance Tracker'!G104</f>
        <v/>
      </c>
    </row>
    <row r="8">
      <c r="A8" s="22">
        <f>'Attendance Tracker'!A105</f>
        <v/>
      </c>
      <c r="B8" s="17">
        <f>'Attendance Tracker'!B105</f>
        <v/>
      </c>
      <c r="C8" s="17">
        <f>'Attendance Tracker'!C105</f>
        <v/>
      </c>
      <c r="D8" s="17">
        <f>'Attendance Tracker'!D105</f>
        <v/>
      </c>
      <c r="E8" s="17">
        <f>'Attendance Tracker'!E105</f>
        <v/>
      </c>
      <c r="F8" s="17">
        <f>'Attendance Tracker'!F105</f>
        <v/>
      </c>
      <c r="G8" s="17">
        <f>'Attendance Tracker'!G105</f>
        <v/>
      </c>
    </row>
    <row r="9">
      <c r="A9" s="22">
        <f>'Attendance Tracker'!A106</f>
        <v/>
      </c>
      <c r="B9" s="17">
        <f>'Attendance Tracker'!B106</f>
        <v/>
      </c>
      <c r="C9" s="17">
        <f>'Attendance Tracker'!C106</f>
        <v/>
      </c>
      <c r="D9" s="17">
        <f>'Attendance Tracker'!D106</f>
        <v/>
      </c>
      <c r="E9" s="17">
        <f>'Attendance Tracker'!E106</f>
        <v/>
      </c>
      <c r="F9" s="17">
        <f>'Attendance Tracker'!F106</f>
        <v/>
      </c>
      <c r="G9" s="17">
        <f>'Attendance Tracker'!G106</f>
        <v/>
      </c>
    </row>
    <row r="10">
      <c r="A10" s="22">
        <f>'Attendance Tracker'!A107</f>
        <v/>
      </c>
      <c r="B10" s="17">
        <f>'Attendance Tracker'!B107</f>
        <v/>
      </c>
      <c r="C10" s="17">
        <f>'Attendance Tracker'!C107</f>
        <v/>
      </c>
      <c r="D10" s="17">
        <f>'Attendance Tracker'!D107</f>
        <v/>
      </c>
      <c r="E10" s="17">
        <f>'Attendance Tracker'!E107</f>
        <v/>
      </c>
      <c r="F10" s="17">
        <f>'Attendance Tracker'!F107</f>
        <v/>
      </c>
      <c r="G10" s="17">
        <f>'Attendance Tracker'!G107</f>
        <v/>
      </c>
    </row>
    <row r="11">
      <c r="A11" s="22">
        <f>'Attendance Tracker'!A108</f>
        <v/>
      </c>
      <c r="B11" s="17">
        <f>'Attendance Tracker'!B108</f>
        <v/>
      </c>
      <c r="C11" s="17">
        <f>'Attendance Tracker'!C108</f>
        <v/>
      </c>
      <c r="D11" s="17">
        <f>'Attendance Tracker'!D108</f>
        <v/>
      </c>
      <c r="E11" s="17">
        <f>'Attendance Tracker'!E108</f>
        <v/>
      </c>
      <c r="F11" s="17">
        <f>'Attendance Tracker'!F108</f>
        <v/>
      </c>
      <c r="G11" s="17">
        <f>'Attendance Tracker'!G108</f>
        <v/>
      </c>
    </row>
    <row r="12">
      <c r="A12" s="22">
        <f>'Attendance Tracker'!A109</f>
        <v/>
      </c>
      <c r="B12" s="17">
        <f>'Attendance Tracker'!B109</f>
        <v/>
      </c>
      <c r="C12" s="17">
        <f>'Attendance Tracker'!C109</f>
        <v/>
      </c>
      <c r="D12" s="17">
        <f>'Attendance Tracker'!D109</f>
        <v/>
      </c>
      <c r="E12" s="17">
        <f>'Attendance Tracker'!E109</f>
        <v/>
      </c>
      <c r="F12" s="17">
        <f>'Attendance Tracker'!F109</f>
        <v/>
      </c>
      <c r="G12" s="17">
        <f>'Attendance Tracker'!G109</f>
        <v/>
      </c>
    </row>
    <row r="13">
      <c r="A13" s="22">
        <f>'Attendance Tracker'!A110</f>
        <v/>
      </c>
      <c r="B13" s="17">
        <f>'Attendance Tracker'!B110</f>
        <v/>
      </c>
      <c r="C13" s="17">
        <f>'Attendance Tracker'!C110</f>
        <v/>
      </c>
      <c r="D13" s="17">
        <f>'Attendance Tracker'!D110</f>
        <v/>
      </c>
      <c r="E13" s="17">
        <f>'Attendance Tracker'!E110</f>
        <v/>
      </c>
      <c r="F13" s="17">
        <f>'Attendance Tracker'!F110</f>
        <v/>
      </c>
      <c r="G13" s="17">
        <f>'Attendance Tracker'!G110</f>
        <v/>
      </c>
    </row>
    <row r="14">
      <c r="A14" s="22">
        <f>'Attendance Tracker'!A111</f>
        <v/>
      </c>
      <c r="B14" s="17">
        <f>'Attendance Tracker'!B111</f>
        <v/>
      </c>
      <c r="C14" s="17">
        <f>'Attendance Tracker'!C111</f>
        <v/>
      </c>
      <c r="D14" s="17">
        <f>'Attendance Tracker'!D111</f>
        <v/>
      </c>
      <c r="E14" s="17">
        <f>'Attendance Tracker'!E111</f>
        <v/>
      </c>
      <c r="F14" s="17">
        <f>'Attendance Tracker'!F111</f>
        <v/>
      </c>
      <c r="G14" s="17">
        <f>'Attendance Tracker'!G111</f>
        <v/>
      </c>
    </row>
    <row r="15">
      <c r="A15" s="22">
        <f>'Attendance Tracker'!A112</f>
        <v/>
      </c>
      <c r="B15" s="17">
        <f>'Attendance Tracker'!B112</f>
        <v/>
      </c>
      <c r="C15" s="17">
        <f>'Attendance Tracker'!C112</f>
        <v/>
      </c>
      <c r="D15" s="17">
        <f>'Attendance Tracker'!D112</f>
        <v/>
      </c>
      <c r="E15" s="17">
        <f>'Attendance Tracker'!E112</f>
        <v/>
      </c>
      <c r="F15" s="17">
        <f>'Attendance Tracker'!F112</f>
        <v/>
      </c>
      <c r="G15" s="17">
        <f>'Attendance Tracker'!G112</f>
        <v/>
      </c>
    </row>
    <row r="16">
      <c r="A16" s="22">
        <f>'Attendance Tracker'!A113</f>
        <v/>
      </c>
      <c r="B16" s="17">
        <f>'Attendance Tracker'!B113</f>
        <v/>
      </c>
      <c r="C16" s="17">
        <f>'Attendance Tracker'!C113</f>
        <v/>
      </c>
      <c r="D16" s="17">
        <f>'Attendance Tracker'!D113</f>
        <v/>
      </c>
      <c r="E16" s="17">
        <f>'Attendance Tracker'!E113</f>
        <v/>
      </c>
      <c r="F16" s="17">
        <f>'Attendance Tracker'!F113</f>
        <v/>
      </c>
      <c r="G16" s="17">
        <f>'Attendance Tracker'!G113</f>
        <v/>
      </c>
    </row>
    <row r="17">
      <c r="A17" s="22">
        <f>'Attendance Tracker'!A114</f>
        <v/>
      </c>
      <c r="B17" s="17">
        <f>'Attendance Tracker'!B114</f>
        <v/>
      </c>
      <c r="C17" s="17">
        <f>'Attendance Tracker'!C114</f>
        <v/>
      </c>
      <c r="D17" s="17">
        <f>'Attendance Tracker'!D114</f>
        <v/>
      </c>
      <c r="E17" s="17">
        <f>'Attendance Tracker'!E114</f>
        <v/>
      </c>
      <c r="F17" s="17">
        <f>'Attendance Tracker'!F114</f>
        <v/>
      </c>
      <c r="G17" s="17">
        <f>'Attendance Tracker'!G114</f>
        <v/>
      </c>
    </row>
    <row r="18">
      <c r="A18" s="22">
        <f>'Attendance Tracker'!A115</f>
        <v/>
      </c>
      <c r="B18" s="17">
        <f>'Attendance Tracker'!B115</f>
        <v/>
      </c>
      <c r="C18" s="17">
        <f>'Attendance Tracker'!C115</f>
        <v/>
      </c>
      <c r="D18" s="17">
        <f>'Attendance Tracker'!D115</f>
        <v/>
      </c>
      <c r="E18" s="17">
        <f>'Attendance Tracker'!E115</f>
        <v/>
      </c>
      <c r="F18" s="17">
        <f>'Attendance Tracker'!F115</f>
        <v/>
      </c>
      <c r="G18" s="17">
        <f>'Attendance Tracker'!G115</f>
        <v/>
      </c>
    </row>
    <row r="19">
      <c r="A19" s="22">
        <f>'Attendance Tracker'!A116</f>
        <v/>
      </c>
      <c r="B19" s="17">
        <f>'Attendance Tracker'!B116</f>
        <v/>
      </c>
      <c r="C19" s="17">
        <f>'Attendance Tracker'!C116</f>
        <v/>
      </c>
      <c r="D19" s="17">
        <f>'Attendance Tracker'!D116</f>
        <v/>
      </c>
      <c r="E19" s="17">
        <f>'Attendance Tracker'!E116</f>
        <v/>
      </c>
      <c r="F19" s="17">
        <f>'Attendance Tracker'!F116</f>
        <v/>
      </c>
      <c r="G19" s="17">
        <f>'Attendance Tracker'!G116</f>
        <v/>
      </c>
    </row>
    <row r="20">
      <c r="A20" s="22">
        <f>'Attendance Tracker'!A117</f>
        <v/>
      </c>
      <c r="B20" s="17">
        <f>'Attendance Tracker'!B117</f>
        <v/>
      </c>
      <c r="C20" s="17">
        <f>'Attendance Tracker'!C117</f>
        <v/>
      </c>
      <c r="D20" s="17">
        <f>'Attendance Tracker'!D117</f>
        <v/>
      </c>
      <c r="E20" s="17">
        <f>'Attendance Tracker'!E117</f>
        <v/>
      </c>
      <c r="F20" s="17">
        <f>'Attendance Tracker'!F117</f>
        <v/>
      </c>
      <c r="G20" s="17">
        <f>'Attendance Tracker'!G117</f>
        <v/>
      </c>
    </row>
    <row r="21">
      <c r="A21" s="22">
        <f>'Attendance Tracker'!A118</f>
        <v/>
      </c>
      <c r="B21" s="17">
        <f>'Attendance Tracker'!B118</f>
        <v/>
      </c>
      <c r="C21" s="17">
        <f>'Attendance Tracker'!C118</f>
        <v/>
      </c>
      <c r="D21" s="17">
        <f>'Attendance Tracker'!D118</f>
        <v/>
      </c>
      <c r="E21" s="17">
        <f>'Attendance Tracker'!E118</f>
        <v/>
      </c>
      <c r="F21" s="17">
        <f>'Attendance Tracker'!F118</f>
        <v/>
      </c>
      <c r="G21" s="17">
        <f>'Attendance Tracker'!G118</f>
        <v/>
      </c>
    </row>
    <row r="22">
      <c r="A22" s="22">
        <f>'Attendance Tracker'!A119</f>
        <v/>
      </c>
      <c r="B22" s="17">
        <f>'Attendance Tracker'!B119</f>
        <v/>
      </c>
      <c r="C22" s="17">
        <f>'Attendance Tracker'!C119</f>
        <v/>
      </c>
      <c r="D22" s="17">
        <f>'Attendance Tracker'!D119</f>
        <v/>
      </c>
      <c r="E22" s="17">
        <f>'Attendance Tracker'!E119</f>
        <v/>
      </c>
      <c r="F22" s="17">
        <f>'Attendance Tracker'!F119</f>
        <v/>
      </c>
      <c r="G22" s="17">
        <f>'Attendance Tracker'!G119</f>
        <v/>
      </c>
    </row>
    <row r="23">
      <c r="A23" s="22">
        <f>'Attendance Tracker'!A120</f>
        <v/>
      </c>
      <c r="B23" s="17">
        <f>'Attendance Tracker'!B120</f>
        <v/>
      </c>
      <c r="C23" s="17">
        <f>'Attendance Tracker'!C120</f>
        <v/>
      </c>
      <c r="D23" s="17">
        <f>'Attendance Tracker'!D120</f>
        <v/>
      </c>
      <c r="E23" s="17">
        <f>'Attendance Tracker'!E120</f>
        <v/>
      </c>
      <c r="F23" s="17">
        <f>'Attendance Tracker'!F120</f>
        <v/>
      </c>
      <c r="G23" s="17">
        <f>'Attendance Tracker'!G120</f>
        <v/>
      </c>
    </row>
    <row r="24">
      <c r="A24" s="22">
        <f>'Attendance Tracker'!A121</f>
        <v/>
      </c>
      <c r="B24" s="17">
        <f>'Attendance Tracker'!B121</f>
        <v/>
      </c>
      <c r="C24" s="17">
        <f>'Attendance Tracker'!C121</f>
        <v/>
      </c>
      <c r="D24" s="17">
        <f>'Attendance Tracker'!D121</f>
        <v/>
      </c>
      <c r="E24" s="17">
        <f>'Attendance Tracker'!E121</f>
        <v/>
      </c>
      <c r="F24" s="17">
        <f>'Attendance Tracker'!F121</f>
        <v/>
      </c>
      <c r="G24" s="17">
        <f>'Attendance Tracker'!G121</f>
        <v/>
      </c>
    </row>
    <row r="25">
      <c r="A25" s="22">
        <f>'Attendance Tracker'!A122</f>
        <v/>
      </c>
      <c r="B25" s="17">
        <f>'Attendance Tracker'!B122</f>
        <v/>
      </c>
      <c r="C25" s="17">
        <f>'Attendance Tracker'!C122</f>
        <v/>
      </c>
      <c r="D25" s="17">
        <f>'Attendance Tracker'!D122</f>
        <v/>
      </c>
      <c r="E25" s="17">
        <f>'Attendance Tracker'!E122</f>
        <v/>
      </c>
      <c r="F25" s="17">
        <f>'Attendance Tracker'!F122</f>
        <v/>
      </c>
      <c r="G25" s="17">
        <f>'Attendance Tracker'!G122</f>
        <v/>
      </c>
    </row>
    <row r="26">
      <c r="A26" s="22">
        <f>'Attendance Tracker'!A123</f>
        <v/>
      </c>
      <c r="B26" s="17">
        <f>'Attendance Tracker'!B123</f>
        <v/>
      </c>
      <c r="C26" s="17">
        <f>'Attendance Tracker'!C123</f>
        <v/>
      </c>
      <c r="D26" s="17">
        <f>'Attendance Tracker'!D123</f>
        <v/>
      </c>
      <c r="E26" s="17">
        <f>'Attendance Tracker'!E123</f>
        <v/>
      </c>
      <c r="F26" s="17">
        <f>'Attendance Tracker'!F123</f>
        <v/>
      </c>
      <c r="G26" s="17">
        <f>'Attendance Tracker'!G123</f>
        <v/>
      </c>
    </row>
    <row r="27">
      <c r="A27" s="22">
        <f>'Attendance Tracker'!A124</f>
        <v/>
      </c>
      <c r="B27" s="17">
        <f>'Attendance Tracker'!B124</f>
        <v/>
      </c>
      <c r="C27" s="17">
        <f>'Attendance Tracker'!C124</f>
        <v/>
      </c>
      <c r="D27" s="17">
        <f>'Attendance Tracker'!D124</f>
        <v/>
      </c>
      <c r="E27" s="17">
        <f>'Attendance Tracker'!E124</f>
        <v/>
      </c>
      <c r="F27" s="17">
        <f>'Attendance Tracker'!F124</f>
        <v/>
      </c>
      <c r="G27" s="17">
        <f>'Attendance Tracker'!G124</f>
        <v/>
      </c>
    </row>
    <row r="28">
      <c r="A28" s="22">
        <f>'Attendance Tracker'!A125</f>
        <v/>
      </c>
      <c r="B28" s="17">
        <f>'Attendance Tracker'!B125</f>
        <v/>
      </c>
      <c r="C28" s="17">
        <f>'Attendance Tracker'!C125</f>
        <v/>
      </c>
      <c r="D28" s="17">
        <f>'Attendance Tracker'!D125</f>
        <v/>
      </c>
      <c r="E28" s="17">
        <f>'Attendance Tracker'!E125</f>
        <v/>
      </c>
      <c r="F28" s="17">
        <f>'Attendance Tracker'!F125</f>
        <v/>
      </c>
      <c r="G28" s="17">
        <f>'Attendance Tracker'!G125</f>
        <v/>
      </c>
    </row>
    <row r="29">
      <c r="A29" s="22">
        <f>'Attendance Tracker'!A126</f>
        <v/>
      </c>
      <c r="B29" s="17">
        <f>'Attendance Tracker'!B126</f>
        <v/>
      </c>
      <c r="C29" s="17">
        <f>'Attendance Tracker'!C126</f>
        <v/>
      </c>
      <c r="D29" s="17">
        <f>'Attendance Tracker'!D126</f>
        <v/>
      </c>
      <c r="E29" s="17">
        <f>'Attendance Tracker'!E126</f>
        <v/>
      </c>
      <c r="F29" s="17">
        <f>'Attendance Tracker'!F126</f>
        <v/>
      </c>
      <c r="G29" s="17">
        <f>'Attendance Tracker'!G126</f>
        <v/>
      </c>
    </row>
    <row r="30">
      <c r="A30" s="22">
        <f>'Attendance Tracker'!A127</f>
        <v/>
      </c>
      <c r="B30" s="17">
        <f>'Attendance Tracker'!B127</f>
        <v/>
      </c>
      <c r="C30" s="17">
        <f>'Attendance Tracker'!C127</f>
        <v/>
      </c>
      <c r="D30" s="17">
        <f>'Attendance Tracker'!D127</f>
        <v/>
      </c>
      <c r="E30" s="17">
        <f>'Attendance Tracker'!E127</f>
        <v/>
      </c>
      <c r="F30" s="17">
        <f>'Attendance Tracker'!F127</f>
        <v/>
      </c>
      <c r="G30" s="17">
        <f>'Attendance Tracker'!G127</f>
        <v/>
      </c>
    </row>
    <row r="31">
      <c r="A31" s="22">
        <f>'Attendance Tracker'!A128</f>
        <v/>
      </c>
      <c r="B31" s="17">
        <f>'Attendance Tracker'!B128</f>
        <v/>
      </c>
      <c r="C31" s="17">
        <f>'Attendance Tracker'!C128</f>
        <v/>
      </c>
      <c r="D31" s="17">
        <f>'Attendance Tracker'!D128</f>
        <v/>
      </c>
      <c r="E31" s="17">
        <f>'Attendance Tracker'!E128</f>
        <v/>
      </c>
      <c r="F31" s="17">
        <f>'Attendance Tracker'!F128</f>
        <v/>
      </c>
      <c r="G31" s="17">
        <f>'Attendance Tracker'!G128</f>
        <v/>
      </c>
    </row>
    <row r="32">
      <c r="A32" s="22">
        <f>'Attendance Tracker'!A129</f>
        <v/>
      </c>
      <c r="B32" s="17">
        <f>'Attendance Tracker'!B129</f>
        <v/>
      </c>
      <c r="C32" s="17">
        <f>'Attendance Tracker'!C129</f>
        <v/>
      </c>
      <c r="D32" s="17">
        <f>'Attendance Tracker'!D129</f>
        <v/>
      </c>
      <c r="E32" s="17">
        <f>'Attendance Tracker'!E129</f>
        <v/>
      </c>
      <c r="F32" s="17">
        <f>'Attendance Tracker'!F129</f>
        <v/>
      </c>
      <c r="G32" s="17">
        <f>'Attendance Tracker'!G129</f>
        <v/>
      </c>
    </row>
    <row r="33">
      <c r="A33" s="22">
        <f>'Attendance Tracker'!A130</f>
        <v/>
      </c>
      <c r="B33" s="17">
        <f>'Attendance Tracker'!B130</f>
        <v/>
      </c>
      <c r="C33" s="17">
        <f>'Attendance Tracker'!C130</f>
        <v/>
      </c>
      <c r="D33" s="17">
        <f>'Attendance Tracker'!D130</f>
        <v/>
      </c>
      <c r="E33" s="17">
        <f>'Attendance Tracker'!E130</f>
        <v/>
      </c>
      <c r="F33" s="17">
        <f>'Attendance Tracker'!F130</f>
        <v/>
      </c>
      <c r="G33" s="17">
        <f>'Attendance Tracker'!G130</f>
        <v/>
      </c>
    </row>
  </sheetData>
  <autoFilter ref="A3:G33"/>
  <mergeCells count="1"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2026-09-03T16:14:12Z</dcterms:created>
  <dcterms:modified xmlns:dcterms="http://purl.org/dc/terms/" xmlns:xsi="http://www.w3.org/2001/XMLSchema-instance" xsi:type="dcterms:W3CDTF">2026-09-03T16:14:12Z</dcterms:modified>
</cp:coreProperties>
</file>