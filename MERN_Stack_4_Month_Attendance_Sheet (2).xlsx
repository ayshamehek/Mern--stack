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tendance Tracker"/>
    <sheet r:id="rId2" sheetId="2" name="4-Month Summary"/>
    <sheet r:id="rId3" sheetId="3" name="Month 1"/>
    <sheet r:id="rId4" sheetId="4" name="Month 2"/>
    <sheet r:id="rId5" sheetId="5" name="Month 3"/>
    <sheet r:id="rId6" sheetId="6" name="Month 4"/>
  </sheets>
  <definedNames>
    <definedName name="_xlnm._FilterDatabase" localSheetId="0">'Attendance Tracker'!$A$10:$I$131</definedName>
    <definedName name="_xlnm._FilterDatabase" localSheetId="2">'Month 1'!$A$3:$G$33</definedName>
    <definedName name="_xlnm._FilterDatabase" localSheetId="3">'Month 2'!$A$3:$G$33</definedName>
    <definedName name="_xlnm._FilterDatabase" localSheetId="4">'Month 3'!$A$3:$G$33</definedName>
    <definedName name="_xlnm._FilterDatabase" localSheetId="5">'Month 4'!$A$3:$G$33</definedName>
    <definedName name="_xlnm.Print_Titles" localSheetId="1">'4-Month Summary'!$1:$3</definedName>
    <definedName name="_xlnm.Print_Titles" localSheetId="0">'Attendance Tracker'!$1:$10</definedName>
    <definedName name="_xlnm.Print_Titles" localSheetId="2">'Month 1'!$1:$3</definedName>
    <definedName name="_xlnm.Print_Titles" localSheetId="3">'Month 2'!$1:$3</definedName>
    <definedName name="_xlnm.Print_Titles" localSheetId="4">'Month 3'!$1:$3</definedName>
    <definedName name="_xlnm.Print_Titles" localSheetId="5">'Month 4'!$1:$3</definedName>
  </definedNames>
  <calcPr fullCalcOnLoad="1"/>
</workbook>
</file>

<file path=xl/sharedStrings.xml><?xml version="1.0" encoding="utf-8"?>
<sst xmlns="http://schemas.openxmlformats.org/spreadsheetml/2006/main" count="719" uniqueCount="25">
  <si>
    <t>MERN STACK COURSE — MONTH 4 ATTENDANCE</t>
  </si>
  <si>
    <t>Date</t>
  </si>
  <si>
    <t>Day</t>
  </si>
  <si>
    <t>Topic / Module</t>
  </si>
  <si>
    <t>Attendance</t>
  </si>
  <si>
    <t>Remarks</t>
  </si>
  <si>
    <t>Present</t>
  </si>
  <si>
    <t>Absent</t>
  </si>
  <si>
    <t>MERN STACK COURSE — MONTH 3 ATTENDANCE</t>
  </si>
  <si>
    <t>MERN STACK COURSE — MONTH 2 ATTENDANCE</t>
  </si>
  <si>
    <t>MERN STACK COURSE — MONTH 1 ATTENDANCE</t>
  </si>
  <si>
    <t>MERN STACK COURSE — ATTENDANCE SUMMARY</t>
  </si>
  <si>
    <t>Student Name</t>
  </si>
  <si>
    <t>Course</t>
  </si>
  <si>
    <t>Start Date</t>
  </si>
  <si>
    <t>Month</t>
  </si>
  <si>
    <t>Total Classes</t>
  </si>
  <si>
    <t>Leave</t>
  </si>
  <si>
    <t>Attendance %</t>
  </si>
  <si>
    <t>Month 1</t>
  </si>
  <si>
    <t>Month 2</t>
  </si>
  <si>
    <t>Month 3</t>
  </si>
  <si>
    <t>Month 4</t>
  </si>
  <si>
    <t>4-MONTH TOTAL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</si>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</sst>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dd-mmm-yyyy"/>
    <numFmt numFmtId="165" formatCode="#,##0.00%"/>
    <numFmt numFmtId="166" formatCode="yyyy-mm-dd"/>
    <numFmt numFmtId="167" formatCode="h:mm Am/Pm"/>
    <numFmt numFmtId="168" formatCode="h:mm tt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7365d"/>
      <name val="Calibri"/>
      <family val="2"/>
    </font>
    <font>
      <i/>
      <sz val="11"/>
      <color rgb="FF17365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</borders>
  <cellStyleXfs count="1">
    <xf numFmtId="0" fontId="0" fillId="0" borderId="0"/>
  </cellStyleXfs>
  <cellXfs count="68">
    <xf xfId="0" numFmtId="0" borderId="0" fontId="0" fillId="0"/>
    <xf xfId="0" numFmtId="1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" applyNumberFormat="1" borderId="2" applyBorder="1" fontId="2" applyFont="1" fillId="0" applyAlignment="1">
      <alignment horizontal="center"/>
    </xf>
    <xf xfId="0" numFmtId="1" applyNumberFormat="1" borderId="1" applyBorder="1" fontId="3" applyFont="1" fillId="2" applyFill="1" applyAlignment="1">
      <alignment horizontal="center"/>
    </xf>
    <xf xfId="0" numFmtId="0" borderId="1" applyBorder="1" fontId="3" applyFont="1" fillId="2" applyFill="1" applyAlignment="1">
      <alignment horizontal="center"/>
    </xf>
    <xf xfId="0" numFmtId="3" applyNumberFormat="1" borderId="1" applyBorder="1" fontId="3" applyFont="1" fillId="2" applyFill="1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0" borderId="1" applyBorder="1" fontId="4" applyFont="1" fillId="2" applyFill="1" applyAlignment="1">
      <alignment horizontal="center"/>
    </xf>
    <xf xfId="0" numFmtId="165" applyNumberFormat="1" borderId="2" applyBorder="1" fontId="2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165" applyNumberFormat="1" borderId="1" applyBorder="1" fontId="3" applyFont="1" fillId="2" applyFill="1" applyAlignment="1">
      <alignment horizontal="center"/>
    </xf>
    <xf xfId="0" numFmtId="0" borderId="3" applyBorder="1" fontId="2" applyFont="1" fillId="0" applyAlignment="1">
      <alignment horizontal="center"/>
    </xf>
    <xf xfId="0" numFmtId="165" applyNumberFormat="1" borderId="3" applyBorder="1" fontId="2" applyFont="1" fillId="0" applyAlignment="1">
      <alignment horizontal="center"/>
    </xf>
    <xf xfId="0" numFmtId="0" borderId="1" applyBorder="1" fontId="3" applyFont="1" fillId="4" applyFill="1" applyAlignment="1">
      <alignment horizontal="center"/>
    </xf>
    <xf xfId="0" numFmtId="3" applyNumberFormat="1" borderId="1" applyBorder="1" fontId="3" applyFont="1" fillId="4" applyFill="1" applyAlignment="1">
      <alignment horizontal="center"/>
    </xf>
    <xf xfId="0" numFmtId="165" applyNumberFormat="1" borderId="1" applyBorder="1" fontId="3" applyFont="1" fillId="4" applyFill="1" applyAlignment="1">
      <alignment horizontal="center"/>
    </xf>
    <xf xfId="0" numFmtId="165" applyNumberFormat="1" borderId="0" fontId="0" fillId="0" applyAlignment="1">
      <alignment horizontal="center"/>
    </xf>
    <xf xfId="0" numFmtId="1" applyNumberFormat="1" borderId="1" applyBorder="1" fontId="4" applyFont="1" fillId="2" applyFill="1" quotePrefix="1" applyAlignment="1">
      <alignment horizontal="center"/>
    </xf>
    <xf xfId="0" numFmtId="166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7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1" applyNumberFormat="1" borderId="2" applyBorder="1" fontId="2" applyFont="1" fillId="0" applyAlignment="1">
      <alignment horizontal="left"/>
    </xf>
    <xf xfId="0" numFmtId="1" applyNumberFormat="1" borderId="2" applyBorder="1" fontId="5" applyFont="1" fillId="0" quotePrefix="1" applyAlignment="1">
      <alignment horizontal="left"/>
    </xf>
    <xf xfId="0" numFmtId="166" applyNumberFormat="1" borderId="4" applyBorder="1" fontId="2" applyFont="1" fillId="3" applyFill="1" quotePrefix="1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1" applyBorder="1" fontId="3" applyFont="1" fillId="2" applyFill="1" quotePrefix="1" applyAlignment="1">
      <alignment horizontal="left"/>
    </xf>
    <xf xfId="0" numFmtId="3" applyNumberFormat="1" borderId="1" applyBorder="1" fontId="2" applyFont="1" fillId="5" applyFill="1" quotePrefix="1" applyAlignment="1">
      <alignment horizontal="left"/>
    </xf>
    <xf xfId="0" numFmtId="3" applyNumberFormat="1" borderId="1" applyBorder="1" fontId="2" applyFont="1" fillId="6" applyFill="1" quotePrefix="1" applyAlignment="1">
      <alignment horizontal="left"/>
    </xf>
    <xf xfId="0" numFmtId="0" borderId="2" applyBorder="1" fontId="2" applyFont="1" fillId="0" quotePrefix="1" applyAlignment="1">
      <alignment horizontal="left" wrapText="1"/>
    </xf>
    <xf xfId="0" numFmtId="3" applyNumberFormat="1" borderId="1" applyBorder="1" fontId="2" applyFont="1" fillId="3" applyFill="1" quotePrefix="1" applyAlignment="1">
      <alignment horizontal="left"/>
    </xf>
    <xf xfId="0" numFmtId="166" applyNumberFormat="1" borderId="4" applyBorder="1" fontId="2" applyFont="1" fillId="3" applyFill="1" applyAlignment="1">
      <alignment horizontal="left"/>
    </xf>
    <xf xfId="0" numFmtId="0" borderId="0" fontId="0" fillId="0" applyAlignment="1">
      <alignment wrapText="1"/>
    </xf>
    <xf xfId="0" numFmtId="1" applyNumberFormat="1" borderId="4" applyBorder="1" fontId="3" applyFont="1" fillId="2" applyFill="1" quotePrefix="1" applyAlignment="1">
      <alignment horizontal="center" wrapText="1"/>
    </xf>
    <xf xfId="0" numFmtId="166" applyNumberFormat="1" borderId="4" applyBorder="1" fontId="3" applyFont="1" fillId="2" applyFill="1" quotePrefix="1" applyAlignment="1">
      <alignment horizontal="center" wrapText="1"/>
    </xf>
    <xf xfId="0" numFmtId="0" borderId="4" applyBorder="1" fontId="3" applyFont="1" fillId="2" applyFill="1" quotePrefix="1" applyAlignment="1">
      <alignment horizontal="center" wrapText="1"/>
    </xf>
    <xf xfId="0" numFmtId="168" applyNumberFormat="1" borderId="4" applyBorder="1" fontId="3" applyFont="1" fillId="2" applyFill="1" quotePrefix="1" applyAlignment="1">
      <alignment horizontal="center" wrapText="1"/>
    </xf>
    <xf xfId="0" numFmtId="3" applyNumberFormat="1" borderId="4" applyBorder="1" fontId="3" applyFont="1" fillId="2" applyFill="1" quotePrefix="1" applyAlignment="1">
      <alignment horizontal="center" wrapText="1"/>
    </xf>
    <xf xfId="0" numFmtId="164" applyNumberFormat="1" borderId="3" applyBorder="1" fontId="2" applyFont="1" fillId="0" quotePrefix="1" applyAlignment="1">
      <alignment horizontal="center"/>
    </xf>
    <xf xfId="0" numFmtId="166" applyNumberFormat="1" borderId="3" applyBorder="1" fontId="2" applyFont="1" fillId="0" quotePrefix="1" applyAlignment="1">
      <alignment horizontal="center"/>
    </xf>
    <xf xfId="0" numFmtId="0" borderId="3" applyBorder="1" fontId="2" applyFont="1" fillId="0" quotePrefix="1" applyAlignment="1">
      <alignment horizontal="left"/>
    </xf>
    <xf xfId="0" numFmtId="0" borderId="3" applyBorder="1" fontId="2" applyFont="1" fillId="0" quotePrefix="1" applyAlignment="1">
      <alignment horizontal="center"/>
    </xf>
    <xf xfId="0" numFmtId="167" applyNumberFormat="1" borderId="3" applyBorder="1" fontId="2" applyFont="1" fillId="0" applyAlignment="1">
      <alignment horizontal="center"/>
    </xf>
    <xf xfId="0" numFmtId="167" applyNumberFormat="1" borderId="3" applyBorder="1" fontId="2" applyFont="1" fillId="0" applyAlignment="1">
      <alignment horizontal="left"/>
    </xf>
    <xf xfId="0" numFmtId="3" applyNumberFormat="1" borderId="3" applyBorder="1" fontId="2" applyFont="1" fillId="0" quotePrefix="1" applyAlignment="1">
      <alignment horizontal="center"/>
    </xf>
    <xf xfId="0" numFmtId="168" applyNumberFormat="1" borderId="3" applyBorder="1" fontId="2" applyFont="1" fillId="0" quotePrefix="1" applyAlignment="1">
      <alignment horizontal="center"/>
    </xf>
    <xf xfId="0" numFmtId="168" applyNumberFormat="1" borderId="3" applyBorder="1" fontId="2" applyFont="1" fillId="0" quotePrefix="1" applyAlignment="1">
      <alignment horizontal="left"/>
    </xf>
    <xf xfId="0" numFmtId="1" applyNumberFormat="1" borderId="1" applyBorder="1" fontId="6" applyFont="1" fillId="7" applyFill="1" quotePrefix="1" applyAlignment="1">
      <alignment horizontal="left" vertical="top" wrapText="1"/>
    </xf>
    <xf xfId="0" numFmtId="166" applyNumberFormat="1" borderId="2" applyBorder="1" fontId="2" applyFont="1" fillId="0" applyAlignment="1">
      <alignment horizontal="left" wrapText="1"/>
    </xf>
    <xf xfId="0" numFmtId="167" applyNumberFormat="1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1" applyNumberFormat="1" borderId="0" fontId="0" fillId="0" applyAlignment="1">
      <alignment horizontal="left"/>
    </xf>
    <xf xfId="0" numFmtId="166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168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4"/>
  <sheetViews>
    <sheetView workbookViewId="0" tabSelected="1">
      <pane state="frozen" activePane="bottomLeft" topLeftCell="A11" ySplit="10" xSplit="0"/>
    </sheetView>
  </sheetViews>
  <sheetFormatPr defaultRowHeight="15" x14ac:dyDescent="0.25"/>
  <cols>
    <col min="1" max="1" style="62" width="15.005" customWidth="1" bestFit="1"/>
    <col min="2" max="2" style="63" width="10.005" customWidth="1" bestFit="1"/>
    <col min="3" max="3" style="64" width="28.005" customWidth="1" bestFit="1"/>
    <col min="4" max="4" style="64" width="14.005" customWidth="1" bestFit="1"/>
    <col min="5" max="5" style="65" width="14.005" customWidth="1" bestFit="1"/>
    <col min="6" max="6" style="65" width="15.43357142857143" customWidth="1" bestFit="1"/>
    <col min="7" max="7" style="66" width="10.005" customWidth="1" bestFit="1"/>
    <col min="8" max="8" style="66" width="10.005" customWidth="1" bestFit="1"/>
    <col min="9" max="9" style="66" width="10.005" customWidth="1" bestFit="1"/>
    <col min="10" max="10" style="67" width="13.576428571428572" customWidth="1" bestFit="1"/>
    <col min="11" max="11" style="67" width="13.576428571428572" customWidth="1" bestFit="1"/>
  </cols>
  <sheetData>
    <row x14ac:dyDescent="0.25" r="1" customHeight="1" ht="30">
      <c r="A1" s="27" t="s">
        <v>24</v>
      </c>
      <c r="B1" s="28"/>
      <c r="C1" s="29"/>
      <c r="D1" s="29"/>
      <c r="E1" s="30"/>
      <c r="F1" s="30"/>
      <c r="G1" s="31"/>
      <c r="H1" s="31"/>
      <c r="I1" s="31"/>
      <c r="J1" s="32"/>
      <c r="K1" s="32"/>
    </row>
    <row x14ac:dyDescent="0.25" r="2" customHeight="1" ht="18.75">
      <c r="A2" s="33"/>
      <c r="B2" s="28"/>
      <c r="C2" s="29"/>
      <c r="D2" s="29"/>
      <c r="E2" s="30"/>
      <c r="F2" s="30"/>
      <c r="G2" s="31"/>
      <c r="H2" s="31"/>
      <c r="I2" s="31"/>
      <c r="J2" s="32"/>
      <c r="K2" s="32"/>
    </row>
    <row x14ac:dyDescent="0.25" r="3" customHeight="1" ht="22">
      <c r="A3" s="34" t="s">
        <v>24</v>
      </c>
      <c r="B3" s="35" t="s">
        <v>24</v>
      </c>
      <c r="C3" s="36"/>
      <c r="D3" s="36"/>
      <c r="E3" s="30"/>
      <c r="F3" s="30"/>
      <c r="G3" s="37" t="s">
        <v>24</v>
      </c>
      <c r="H3" s="31"/>
      <c r="I3" s="31"/>
      <c r="J3" s="32"/>
      <c r="K3" s="32"/>
    </row>
    <row x14ac:dyDescent="0.25" r="4" customHeight="1" ht="22">
      <c r="A4" s="34" t="s">
        <v>24</v>
      </c>
      <c r="B4" s="35" t="s">
        <v>24</v>
      </c>
      <c r="C4" s="36"/>
      <c r="D4" s="36"/>
      <c r="E4" s="30"/>
      <c r="F4" s="30"/>
      <c r="G4" s="38" t="s">
        <v>24</v>
      </c>
      <c r="H4" s="38" t="s">
        <v>24</v>
      </c>
      <c r="I4" s="31"/>
      <c r="J4" s="32"/>
      <c r="K4" s="32"/>
    </row>
    <row x14ac:dyDescent="0.25" r="5" customHeight="1" ht="22">
      <c r="A5" s="34" t="s">
        <v>24</v>
      </c>
      <c r="B5" s="35" t="s">
        <v>24</v>
      </c>
      <c r="C5" s="36"/>
      <c r="D5" s="36"/>
      <c r="E5" s="30"/>
      <c r="F5" s="30"/>
      <c r="G5" s="39" t="s">
        <v>24</v>
      </c>
      <c r="H5" s="39" t="s">
        <v>24</v>
      </c>
      <c r="I5" s="31"/>
      <c r="J5" s="32"/>
      <c r="K5" s="40" t="s">
        <v>24</v>
      </c>
    </row>
    <row x14ac:dyDescent="0.25" r="6" customHeight="1" ht="22">
      <c r="A6" s="34" t="s">
        <v>24</v>
      </c>
      <c r="B6" s="35" t="s">
        <v>24</v>
      </c>
      <c r="C6" s="36"/>
      <c r="D6" s="36"/>
      <c r="E6" s="30"/>
      <c r="F6" s="30"/>
      <c r="G6" s="41" t="s">
        <v>24</v>
      </c>
      <c r="H6" s="41" t="s">
        <v>24</v>
      </c>
      <c r="I6" s="31"/>
      <c r="J6" s="32"/>
      <c r="K6" s="32"/>
    </row>
    <row x14ac:dyDescent="0.25" r="7" customHeight="1" ht="22">
      <c r="A7" s="34" t="s">
        <v>24</v>
      </c>
      <c r="B7" s="35" t="s">
        <v>24</v>
      </c>
      <c r="C7" s="36"/>
      <c r="D7" s="36"/>
      <c r="E7" s="30"/>
      <c r="F7" s="30"/>
      <c r="G7" s="31"/>
      <c r="H7" s="31"/>
      <c r="I7" s="31"/>
      <c r="J7" s="32"/>
      <c r="K7" s="32"/>
    </row>
    <row x14ac:dyDescent="0.25" r="8" customHeight="1" ht="22">
      <c r="A8" s="34" t="s">
        <v>24</v>
      </c>
      <c r="B8" s="42"/>
      <c r="C8" s="36"/>
      <c r="D8" s="36"/>
      <c r="E8" s="30"/>
      <c r="F8" s="30"/>
      <c r="G8" s="31"/>
      <c r="H8" s="31"/>
      <c r="I8" s="31"/>
      <c r="J8" s="32"/>
      <c r="K8" s="32"/>
    </row>
    <row x14ac:dyDescent="0.25" r="9" customHeight="1" ht="18.75">
      <c r="A9" s="33"/>
      <c r="B9" s="28"/>
      <c r="C9" s="29"/>
      <c r="D9" s="29"/>
      <c r="E9" s="30"/>
      <c r="F9" s="30"/>
      <c r="G9" s="31"/>
      <c r="H9" s="31"/>
      <c r="I9" s="31"/>
      <c r="J9" s="32"/>
      <c r="K9" s="32"/>
    </row>
    <row x14ac:dyDescent="0.25" r="10" customHeight="1" ht="18.75" customFormat="1" s="43">
      <c r="A10" s="44" t="s">
        <v>24</v>
      </c>
      <c r="B10" s="45" t="s">
        <v>24</v>
      </c>
      <c r="C10" s="46" t="s">
        <v>24</v>
      </c>
      <c r="D10" s="46" t="s">
        <v>24</v>
      </c>
      <c r="E10" s="47" t="s">
        <v>24</v>
      </c>
      <c r="F10" s="47" t="s">
        <v>24</v>
      </c>
      <c r="G10" s="48" t="s">
        <v>24</v>
      </c>
      <c r="H10" s="48" t="s">
        <v>24</v>
      </c>
      <c r="I10" s="48" t="s">
        <v>24</v>
      </c>
      <c r="J10" s="32"/>
      <c r="K10" s="32"/>
    </row>
    <row x14ac:dyDescent="0.25" r="11" customHeight="1" ht="19.5">
      <c r="A11" s="49" t="s">
        <v>24</v>
      </c>
      <c r="B11" s="50" t="s">
        <v>24</v>
      </c>
      <c r="C11" s="51" t="s">
        <v>24</v>
      </c>
      <c r="D11" s="52" t="s">
        <v>24</v>
      </c>
      <c r="E11" s="53"/>
      <c r="F11" s="54"/>
      <c r="G11" s="55" t="s">
        <v>24</v>
      </c>
      <c r="H11" s="55" t="s">
        <v>24</v>
      </c>
      <c r="I11" s="55" t="s">
        <v>24</v>
      </c>
      <c r="J11" s="32"/>
      <c r="K11" s="32"/>
    </row>
    <row x14ac:dyDescent="0.25" r="12" customHeight="1" ht="19.5">
      <c r="A12" s="49" t="s">
        <v>24</v>
      </c>
      <c r="B12" s="50" t="s">
        <v>24</v>
      </c>
      <c r="C12" s="51" t="s">
        <v>24</v>
      </c>
      <c r="D12" s="52" t="s">
        <v>24</v>
      </c>
      <c r="E12" s="53"/>
      <c r="F12" s="54"/>
      <c r="G12" s="55" t="s">
        <v>24</v>
      </c>
      <c r="H12" s="55" t="s">
        <v>24</v>
      </c>
      <c r="I12" s="55" t="s">
        <v>24</v>
      </c>
      <c r="J12" s="32"/>
      <c r="K12" s="32"/>
    </row>
    <row x14ac:dyDescent="0.25" r="13" customHeight="1" ht="19.5">
      <c r="A13" s="49" t="s">
        <v>24</v>
      </c>
      <c r="B13" s="50" t="s">
        <v>24</v>
      </c>
      <c r="C13" s="51" t="s">
        <v>24</v>
      </c>
      <c r="D13" s="52" t="s">
        <v>24</v>
      </c>
      <c r="E13" s="53"/>
      <c r="F13" s="54"/>
      <c r="G13" s="55" t="s">
        <v>24</v>
      </c>
      <c r="H13" s="55" t="s">
        <v>24</v>
      </c>
      <c r="I13" s="55" t="s">
        <v>24</v>
      </c>
      <c r="J13" s="32"/>
      <c r="K13" s="32"/>
    </row>
    <row x14ac:dyDescent="0.25" r="14" customHeight="1" ht="19.5">
      <c r="A14" s="49" t="s">
        <v>24</v>
      </c>
      <c r="B14" s="50" t="s">
        <v>24</v>
      </c>
      <c r="C14" s="51" t="s">
        <v>24</v>
      </c>
      <c r="D14" s="52" t="s">
        <v>24</v>
      </c>
      <c r="E14" s="56" t="s">
        <v>24</v>
      </c>
      <c r="F14" s="57" t="s">
        <v>24</v>
      </c>
      <c r="G14" s="55" t="s">
        <v>24</v>
      </c>
      <c r="H14" s="55" t="s">
        <v>24</v>
      </c>
      <c r="I14" s="55" t="s">
        <v>24</v>
      </c>
      <c r="J14" s="32"/>
      <c r="K14" s="32"/>
    </row>
    <row x14ac:dyDescent="0.25" r="15" customHeight="1" ht="19.5">
      <c r="A15" s="49" t="s">
        <v>24</v>
      </c>
      <c r="B15" s="50" t="s">
        <v>24</v>
      </c>
      <c r="C15" s="51" t="s">
        <v>24</v>
      </c>
      <c r="D15" s="21"/>
      <c r="E15" s="56" t="s">
        <v>24</v>
      </c>
      <c r="F15" s="57" t="s">
        <v>24</v>
      </c>
      <c r="G15" s="55" t="s">
        <v>24</v>
      </c>
      <c r="H15" s="55" t="s">
        <v>24</v>
      </c>
      <c r="I15" s="55" t="s">
        <v>24</v>
      </c>
      <c r="J15" s="32"/>
      <c r="K15" s="32"/>
    </row>
    <row x14ac:dyDescent="0.25" r="16" customHeight="1" ht="19.5">
      <c r="A16" s="49" t="s">
        <v>24</v>
      </c>
      <c r="B16" s="50" t="s">
        <v>24</v>
      </c>
      <c r="C16" s="51" t="s">
        <v>24</v>
      </c>
      <c r="D16" s="52" t="s">
        <v>24</v>
      </c>
      <c r="E16" s="53"/>
      <c r="F16" s="54"/>
      <c r="G16" s="55" t="s">
        <v>24</v>
      </c>
      <c r="H16" s="55" t="s">
        <v>24</v>
      </c>
      <c r="I16" s="55" t="s">
        <v>24</v>
      </c>
      <c r="J16" s="32"/>
      <c r="K16" s="32"/>
    </row>
    <row x14ac:dyDescent="0.25" r="17" customHeight="1" ht="19.5">
      <c r="A17" s="49" t="s">
        <v>24</v>
      </c>
      <c r="B17" s="50" t="s">
        <v>24</v>
      </c>
      <c r="C17" s="51" t="s">
        <v>24</v>
      </c>
      <c r="D17" s="52" t="s">
        <v>24</v>
      </c>
      <c r="E17" s="53"/>
      <c r="F17" s="54"/>
      <c r="G17" s="55" t="s">
        <v>24</v>
      </c>
      <c r="H17" s="55" t="s">
        <v>24</v>
      </c>
      <c r="I17" s="55" t="s">
        <v>24</v>
      </c>
      <c r="J17" s="32"/>
      <c r="K17" s="32"/>
    </row>
    <row x14ac:dyDescent="0.25" r="18" customHeight="1" ht="19.5">
      <c r="A18" s="49" t="s">
        <v>24</v>
      </c>
      <c r="B18" s="50" t="s">
        <v>24</v>
      </c>
      <c r="C18" s="51" t="s">
        <v>24</v>
      </c>
      <c r="D18" s="52" t="s">
        <v>24</v>
      </c>
      <c r="E18" s="53"/>
      <c r="F18" s="54"/>
      <c r="G18" s="55" t="s">
        <v>24</v>
      </c>
      <c r="H18" s="55" t="s">
        <v>24</v>
      </c>
      <c r="I18" s="55" t="s">
        <v>24</v>
      </c>
      <c r="J18" s="32"/>
      <c r="K18" s="32"/>
    </row>
    <row x14ac:dyDescent="0.25" r="19" customHeight="1" ht="19.5">
      <c r="A19" s="49" t="s">
        <v>24</v>
      </c>
      <c r="B19" s="50" t="s">
        <v>24</v>
      </c>
      <c r="C19" s="51" t="s">
        <v>24</v>
      </c>
      <c r="D19" s="52" t="s">
        <v>24</v>
      </c>
      <c r="E19" s="53"/>
      <c r="F19" s="54"/>
      <c r="G19" s="55" t="s">
        <v>24</v>
      </c>
      <c r="H19" s="55" t="s">
        <v>24</v>
      </c>
      <c r="I19" s="55" t="s">
        <v>24</v>
      </c>
      <c r="J19" s="32"/>
      <c r="K19" s="32"/>
    </row>
    <row x14ac:dyDescent="0.25" r="20" customHeight="1" ht="19.5">
      <c r="A20" s="49" t="s">
        <v>24</v>
      </c>
      <c r="B20" s="50" t="s">
        <v>24</v>
      </c>
      <c r="C20" s="51" t="s">
        <v>24</v>
      </c>
      <c r="D20" s="52" t="s">
        <v>24</v>
      </c>
      <c r="E20" s="53"/>
      <c r="F20" s="54"/>
      <c r="G20" s="55" t="s">
        <v>24</v>
      </c>
      <c r="H20" s="55" t="s">
        <v>24</v>
      </c>
      <c r="I20" s="55" t="s">
        <v>24</v>
      </c>
      <c r="J20" s="32"/>
      <c r="K20" s="32"/>
    </row>
    <row x14ac:dyDescent="0.25" r="21" customHeight="1" ht="19.5">
      <c r="A21" s="49" t="s">
        <v>24</v>
      </c>
      <c r="B21" s="50" t="s">
        <v>24</v>
      </c>
      <c r="C21" s="51" t="s">
        <v>24</v>
      </c>
      <c r="D21" s="52" t="s">
        <v>24</v>
      </c>
      <c r="E21" s="53"/>
      <c r="F21" s="54"/>
      <c r="G21" s="55" t="s">
        <v>24</v>
      </c>
      <c r="H21" s="55" t="s">
        <v>24</v>
      </c>
      <c r="I21" s="55" t="s">
        <v>24</v>
      </c>
      <c r="J21" s="32"/>
      <c r="K21" s="32"/>
    </row>
    <row x14ac:dyDescent="0.25" r="22" customHeight="1" ht="19.5">
      <c r="A22" s="49" t="s">
        <v>24</v>
      </c>
      <c r="B22" s="50" t="s">
        <v>24</v>
      </c>
      <c r="C22" s="51" t="s">
        <v>24</v>
      </c>
      <c r="D22" s="52" t="s">
        <v>24</v>
      </c>
      <c r="E22" s="53"/>
      <c r="F22" s="54"/>
      <c r="G22" s="55" t="s">
        <v>24</v>
      </c>
      <c r="H22" s="55" t="s">
        <v>24</v>
      </c>
      <c r="I22" s="55" t="s">
        <v>24</v>
      </c>
      <c r="J22" s="32"/>
      <c r="K22" s="32"/>
    </row>
    <row x14ac:dyDescent="0.25" r="23" customHeight="1" ht="19.5">
      <c r="A23" s="49" t="s">
        <v>24</v>
      </c>
      <c r="B23" s="50" t="s">
        <v>24</v>
      </c>
      <c r="C23" s="51" t="s">
        <v>24</v>
      </c>
      <c r="D23" s="52" t="s">
        <v>24</v>
      </c>
      <c r="E23" s="53"/>
      <c r="F23" s="54"/>
      <c r="G23" s="55" t="s">
        <v>24</v>
      </c>
      <c r="H23" s="55" t="s">
        <v>24</v>
      </c>
      <c r="I23" s="55" t="s">
        <v>24</v>
      </c>
      <c r="J23" s="32"/>
      <c r="K23" s="32"/>
    </row>
    <row x14ac:dyDescent="0.25" r="24" customHeight="1" ht="19.5">
      <c r="A24" s="49" t="s">
        <v>24</v>
      </c>
      <c r="B24" s="50" t="s">
        <v>24</v>
      </c>
      <c r="C24" s="51" t="s">
        <v>24</v>
      </c>
      <c r="D24" s="52" t="s">
        <v>24</v>
      </c>
      <c r="E24" s="53"/>
      <c r="F24" s="54"/>
      <c r="G24" s="55" t="s">
        <v>24</v>
      </c>
      <c r="H24" s="55" t="s">
        <v>24</v>
      </c>
      <c r="I24" s="55" t="s">
        <v>24</v>
      </c>
      <c r="J24" s="32"/>
      <c r="K24" s="32"/>
    </row>
    <row x14ac:dyDescent="0.25" r="25" customHeight="1" ht="19.5">
      <c r="A25" s="49" t="s">
        <v>24</v>
      </c>
      <c r="B25" s="50" t="s">
        <v>24</v>
      </c>
      <c r="C25" s="51" t="s">
        <v>24</v>
      </c>
      <c r="D25" s="52" t="s">
        <v>24</v>
      </c>
      <c r="E25" s="53"/>
      <c r="F25" s="54"/>
      <c r="G25" s="55" t="s">
        <v>24</v>
      </c>
      <c r="H25" s="55" t="s">
        <v>24</v>
      </c>
      <c r="I25" s="55" t="s">
        <v>24</v>
      </c>
      <c r="J25" s="32"/>
      <c r="K25" s="32"/>
    </row>
    <row x14ac:dyDescent="0.25" r="26" customHeight="1" ht="19.5">
      <c r="A26" s="49" t="s">
        <v>24</v>
      </c>
      <c r="B26" s="50" t="s">
        <v>24</v>
      </c>
      <c r="C26" s="51" t="s">
        <v>24</v>
      </c>
      <c r="D26" s="52" t="s">
        <v>24</v>
      </c>
      <c r="E26" s="53"/>
      <c r="F26" s="54"/>
      <c r="G26" s="55" t="s">
        <v>24</v>
      </c>
      <c r="H26" s="55" t="s">
        <v>24</v>
      </c>
      <c r="I26" s="55" t="s">
        <v>24</v>
      </c>
      <c r="J26" s="32"/>
      <c r="K26" s="32"/>
    </row>
    <row x14ac:dyDescent="0.25" r="27" customHeight="1" ht="19.5">
      <c r="A27" s="49" t="s">
        <v>24</v>
      </c>
      <c r="B27" s="50" t="s">
        <v>24</v>
      </c>
      <c r="C27" s="36"/>
      <c r="D27" s="21"/>
      <c r="E27" s="53"/>
      <c r="F27" s="54"/>
      <c r="G27" s="55" t="s">
        <v>24</v>
      </c>
      <c r="H27" s="55" t="s">
        <v>24</v>
      </c>
      <c r="I27" s="55" t="s">
        <v>24</v>
      </c>
      <c r="J27" s="32"/>
      <c r="K27" s="32"/>
    </row>
    <row x14ac:dyDescent="0.25" r="28" customHeight="1" ht="19.5">
      <c r="A28" s="49" t="s">
        <v>24</v>
      </c>
      <c r="B28" s="50" t="s">
        <v>24</v>
      </c>
      <c r="C28" s="51" t="s">
        <v>24</v>
      </c>
      <c r="D28" s="21"/>
      <c r="E28" s="53"/>
      <c r="F28" s="54"/>
      <c r="G28" s="55" t="s">
        <v>24</v>
      </c>
      <c r="H28" s="55" t="s">
        <v>24</v>
      </c>
      <c r="I28" s="55" t="s">
        <v>24</v>
      </c>
      <c r="J28" s="32"/>
      <c r="K28" s="32"/>
    </row>
    <row x14ac:dyDescent="0.25" r="29" customHeight="1" ht="19.5">
      <c r="A29" s="49" t="s">
        <v>24</v>
      </c>
      <c r="B29" s="50" t="s">
        <v>24</v>
      </c>
      <c r="C29" s="51" t="s">
        <v>24</v>
      </c>
      <c r="D29" s="21"/>
      <c r="E29" s="53"/>
      <c r="F29" s="54"/>
      <c r="G29" s="55" t="s">
        <v>24</v>
      </c>
      <c r="H29" s="55" t="s">
        <v>24</v>
      </c>
      <c r="I29" s="55" t="s">
        <v>24</v>
      </c>
      <c r="J29" s="32"/>
      <c r="K29" s="32"/>
    </row>
    <row x14ac:dyDescent="0.25" r="30" customHeight="1" ht="19.5">
      <c r="A30" s="49" t="s">
        <v>24</v>
      </c>
      <c r="B30" s="50" t="s">
        <v>24</v>
      </c>
      <c r="C30" s="51" t="s">
        <v>24</v>
      </c>
      <c r="D30" s="52" t="s">
        <v>24</v>
      </c>
      <c r="E30" s="53"/>
      <c r="F30" s="54"/>
      <c r="G30" s="55" t="s">
        <v>24</v>
      </c>
      <c r="H30" s="55" t="s">
        <v>24</v>
      </c>
      <c r="I30" s="55" t="s">
        <v>24</v>
      </c>
      <c r="J30" s="32"/>
      <c r="K30" s="32"/>
    </row>
    <row x14ac:dyDescent="0.25" r="31" customHeight="1" ht="19.5">
      <c r="A31" s="49" t="s">
        <v>24</v>
      </c>
      <c r="B31" s="50" t="s">
        <v>24</v>
      </c>
      <c r="C31" s="36"/>
      <c r="D31" s="21"/>
      <c r="E31" s="53"/>
      <c r="F31" s="54"/>
      <c r="G31" s="55" t="s">
        <v>24</v>
      </c>
      <c r="H31" s="55" t="s">
        <v>24</v>
      </c>
      <c r="I31" s="55" t="s">
        <v>24</v>
      </c>
      <c r="J31" s="32"/>
      <c r="K31" s="32"/>
    </row>
    <row x14ac:dyDescent="0.25" r="32" customHeight="1" ht="19.5">
      <c r="A32" s="49" t="s">
        <v>24</v>
      </c>
      <c r="B32" s="50" t="s">
        <v>24</v>
      </c>
      <c r="C32" s="36"/>
      <c r="D32" s="21"/>
      <c r="E32" s="53"/>
      <c r="F32" s="54"/>
      <c r="G32" s="55" t="s">
        <v>24</v>
      </c>
      <c r="H32" s="55" t="s">
        <v>24</v>
      </c>
      <c r="I32" s="55" t="s">
        <v>24</v>
      </c>
      <c r="J32" s="32"/>
      <c r="K32" s="32"/>
    </row>
    <row x14ac:dyDescent="0.25" r="33" customHeight="1" ht="19.5">
      <c r="A33" s="49" t="s">
        <v>24</v>
      </c>
      <c r="B33" s="50" t="s">
        <v>24</v>
      </c>
      <c r="C33" s="51" t="s">
        <v>24</v>
      </c>
      <c r="D33" s="52" t="s">
        <v>24</v>
      </c>
      <c r="E33" s="53"/>
      <c r="F33" s="54"/>
      <c r="G33" s="55" t="s">
        <v>24</v>
      </c>
      <c r="H33" s="55" t="s">
        <v>24</v>
      </c>
      <c r="I33" s="55" t="s">
        <v>24</v>
      </c>
      <c r="J33" s="32"/>
      <c r="K33" s="32"/>
    </row>
    <row x14ac:dyDescent="0.25" r="34" customHeight="1" ht="19.5">
      <c r="A34" s="49" t="s">
        <v>24</v>
      </c>
      <c r="B34" s="50" t="s">
        <v>24</v>
      </c>
      <c r="C34" s="51" t="s">
        <v>24</v>
      </c>
      <c r="D34" s="21"/>
      <c r="E34" s="53"/>
      <c r="F34" s="54"/>
      <c r="G34" s="55" t="s">
        <v>24</v>
      </c>
      <c r="H34" s="55" t="s">
        <v>24</v>
      </c>
      <c r="I34" s="55" t="s">
        <v>24</v>
      </c>
      <c r="J34" s="32"/>
      <c r="K34" s="32"/>
    </row>
    <row x14ac:dyDescent="0.25" r="35" customHeight="1" ht="19.5">
      <c r="A35" s="49" t="s">
        <v>24</v>
      </c>
      <c r="B35" s="50" t="s">
        <v>24</v>
      </c>
      <c r="C35" s="36"/>
      <c r="D35" s="21"/>
      <c r="E35" s="53"/>
      <c r="F35" s="54"/>
      <c r="G35" s="55" t="s">
        <v>24</v>
      </c>
      <c r="H35" s="55" t="s">
        <v>24</v>
      </c>
      <c r="I35" s="55" t="s">
        <v>24</v>
      </c>
      <c r="J35" s="32"/>
      <c r="K35" s="32"/>
    </row>
    <row x14ac:dyDescent="0.25" r="36" customHeight="1" ht="19.5">
      <c r="A36" s="49" t="s">
        <v>24</v>
      </c>
      <c r="B36" s="50" t="s">
        <v>24</v>
      </c>
      <c r="C36" s="36"/>
      <c r="D36" s="21"/>
      <c r="E36" s="53"/>
      <c r="F36" s="54"/>
      <c r="G36" s="55" t="s">
        <v>24</v>
      </c>
      <c r="H36" s="55" t="s">
        <v>24</v>
      </c>
      <c r="I36" s="55" t="s">
        <v>24</v>
      </c>
      <c r="J36" s="32"/>
      <c r="K36" s="32"/>
    </row>
    <row x14ac:dyDescent="0.25" r="37" customHeight="1" ht="18.75">
      <c r="A37" s="49" t="s">
        <v>24</v>
      </c>
      <c r="B37" s="50" t="s">
        <v>24</v>
      </c>
      <c r="C37" s="36"/>
      <c r="D37" s="21"/>
      <c r="E37" s="53"/>
      <c r="F37" s="54"/>
      <c r="G37" s="55" t="s">
        <v>24</v>
      </c>
      <c r="H37" s="55" t="s">
        <v>24</v>
      </c>
      <c r="I37" s="55" t="s">
        <v>24</v>
      </c>
      <c r="J37" s="32"/>
      <c r="K37" s="32"/>
    </row>
    <row x14ac:dyDescent="0.25" r="38" customHeight="1" ht="18.75">
      <c r="A38" s="49" t="s">
        <v>24</v>
      </c>
      <c r="B38" s="50" t="s">
        <v>24</v>
      </c>
      <c r="C38" s="36"/>
      <c r="D38" s="21"/>
      <c r="E38" s="53"/>
      <c r="F38" s="54"/>
      <c r="G38" s="55" t="s">
        <v>24</v>
      </c>
      <c r="H38" s="55" t="s">
        <v>24</v>
      </c>
      <c r="I38" s="55" t="s">
        <v>24</v>
      </c>
      <c r="J38" s="32"/>
      <c r="K38" s="32"/>
    </row>
    <row x14ac:dyDescent="0.25" r="39" customHeight="1" ht="18.75">
      <c r="A39" s="49" t="s">
        <v>24</v>
      </c>
      <c r="B39" s="50" t="s">
        <v>24</v>
      </c>
      <c r="C39" s="36"/>
      <c r="D39" s="21"/>
      <c r="E39" s="53"/>
      <c r="F39" s="54"/>
      <c r="G39" s="55" t="s">
        <v>24</v>
      </c>
      <c r="H39" s="55" t="s">
        <v>24</v>
      </c>
      <c r="I39" s="55" t="s">
        <v>24</v>
      </c>
      <c r="J39" s="32"/>
      <c r="K39" s="32"/>
    </row>
    <row x14ac:dyDescent="0.25" r="40" customHeight="1" ht="18.75">
      <c r="A40" s="49" t="s">
        <v>24</v>
      </c>
      <c r="B40" s="50" t="s">
        <v>24</v>
      </c>
      <c r="C40" s="36"/>
      <c r="D40" s="21"/>
      <c r="E40" s="53"/>
      <c r="F40" s="54"/>
      <c r="G40" s="55" t="s">
        <v>24</v>
      </c>
      <c r="H40" s="55" t="s">
        <v>24</v>
      </c>
      <c r="I40" s="55" t="s">
        <v>24</v>
      </c>
      <c r="J40" s="32"/>
      <c r="K40" s="32"/>
    </row>
    <row x14ac:dyDescent="0.25" r="41" customHeight="1" ht="18.75">
      <c r="A41" s="49" t="s">
        <v>24</v>
      </c>
      <c r="B41" s="50" t="s">
        <v>24</v>
      </c>
      <c r="C41" s="36"/>
      <c r="D41" s="21"/>
      <c r="E41" s="53"/>
      <c r="F41" s="54"/>
      <c r="G41" s="55" t="s">
        <v>24</v>
      </c>
      <c r="H41" s="55" t="s">
        <v>24</v>
      </c>
      <c r="I41" s="55" t="s">
        <v>24</v>
      </c>
      <c r="J41" s="32"/>
      <c r="K41" s="32"/>
    </row>
    <row x14ac:dyDescent="0.25" r="42" customHeight="1" ht="18.75">
      <c r="A42" s="49" t="s">
        <v>24</v>
      </c>
      <c r="B42" s="50" t="s">
        <v>24</v>
      </c>
      <c r="C42" s="36"/>
      <c r="D42" s="21"/>
      <c r="E42" s="53"/>
      <c r="F42" s="54"/>
      <c r="G42" s="55" t="s">
        <v>24</v>
      </c>
      <c r="H42" s="55" t="s">
        <v>24</v>
      </c>
      <c r="I42" s="55" t="s">
        <v>24</v>
      </c>
      <c r="J42" s="32"/>
      <c r="K42" s="32"/>
    </row>
    <row x14ac:dyDescent="0.25" r="43" customHeight="1" ht="18.75">
      <c r="A43" s="49" t="s">
        <v>24</v>
      </c>
      <c r="B43" s="50" t="s">
        <v>24</v>
      </c>
      <c r="C43" s="36"/>
      <c r="D43" s="21"/>
      <c r="E43" s="53"/>
      <c r="F43" s="54"/>
      <c r="G43" s="55" t="s">
        <v>24</v>
      </c>
      <c r="H43" s="55" t="s">
        <v>24</v>
      </c>
      <c r="I43" s="55" t="s">
        <v>24</v>
      </c>
      <c r="J43" s="32"/>
      <c r="K43" s="32"/>
    </row>
    <row x14ac:dyDescent="0.25" r="44" customHeight="1" ht="18.75">
      <c r="A44" s="49" t="s">
        <v>24</v>
      </c>
      <c r="B44" s="50" t="s">
        <v>24</v>
      </c>
      <c r="C44" s="36"/>
      <c r="D44" s="21"/>
      <c r="E44" s="53"/>
      <c r="F44" s="54"/>
      <c r="G44" s="55" t="s">
        <v>24</v>
      </c>
      <c r="H44" s="55" t="s">
        <v>24</v>
      </c>
      <c r="I44" s="55" t="s">
        <v>24</v>
      </c>
      <c r="J44" s="32"/>
      <c r="K44" s="32"/>
    </row>
    <row x14ac:dyDescent="0.25" r="45" customHeight="1" ht="18.75">
      <c r="A45" s="49" t="s">
        <v>24</v>
      </c>
      <c r="B45" s="50" t="s">
        <v>24</v>
      </c>
      <c r="C45" s="36"/>
      <c r="D45" s="21"/>
      <c r="E45" s="53"/>
      <c r="F45" s="54"/>
      <c r="G45" s="55" t="s">
        <v>24</v>
      </c>
      <c r="H45" s="55" t="s">
        <v>24</v>
      </c>
      <c r="I45" s="55" t="s">
        <v>24</v>
      </c>
      <c r="J45" s="32"/>
      <c r="K45" s="32"/>
    </row>
    <row x14ac:dyDescent="0.25" r="46" customHeight="1" ht="18.75">
      <c r="A46" s="49" t="s">
        <v>24</v>
      </c>
      <c r="B46" s="50" t="s">
        <v>24</v>
      </c>
      <c r="C46" s="36"/>
      <c r="D46" s="21"/>
      <c r="E46" s="53"/>
      <c r="F46" s="54"/>
      <c r="G46" s="55" t="s">
        <v>24</v>
      </c>
      <c r="H46" s="55" t="s">
        <v>24</v>
      </c>
      <c r="I46" s="55" t="s">
        <v>24</v>
      </c>
      <c r="J46" s="32"/>
      <c r="K46" s="32"/>
    </row>
    <row x14ac:dyDescent="0.25" r="47" customHeight="1" ht="18.75">
      <c r="A47" s="49" t="s">
        <v>24</v>
      </c>
      <c r="B47" s="50" t="s">
        <v>24</v>
      </c>
      <c r="C47" s="36"/>
      <c r="D47" s="21"/>
      <c r="E47" s="53"/>
      <c r="F47" s="54"/>
      <c r="G47" s="55" t="s">
        <v>24</v>
      </c>
      <c r="H47" s="55" t="s">
        <v>24</v>
      </c>
      <c r="I47" s="55" t="s">
        <v>24</v>
      </c>
      <c r="J47" s="32"/>
      <c r="K47" s="32"/>
    </row>
    <row x14ac:dyDescent="0.25" r="48" customHeight="1" ht="18.75">
      <c r="A48" s="49" t="s">
        <v>24</v>
      </c>
      <c r="B48" s="50" t="s">
        <v>24</v>
      </c>
      <c r="C48" s="36"/>
      <c r="D48" s="21"/>
      <c r="E48" s="53"/>
      <c r="F48" s="54"/>
      <c r="G48" s="55" t="s">
        <v>24</v>
      </c>
      <c r="H48" s="55" t="s">
        <v>24</v>
      </c>
      <c r="I48" s="55" t="s">
        <v>24</v>
      </c>
      <c r="J48" s="32"/>
      <c r="K48" s="32"/>
    </row>
    <row x14ac:dyDescent="0.25" r="49" customHeight="1" ht="18.75">
      <c r="A49" s="49" t="s">
        <v>24</v>
      </c>
      <c r="B49" s="50" t="s">
        <v>24</v>
      </c>
      <c r="C49" s="36"/>
      <c r="D49" s="21"/>
      <c r="E49" s="53"/>
      <c r="F49" s="54"/>
      <c r="G49" s="55" t="s">
        <v>24</v>
      </c>
      <c r="H49" s="55" t="s">
        <v>24</v>
      </c>
      <c r="I49" s="55" t="s">
        <v>24</v>
      </c>
      <c r="J49" s="32"/>
      <c r="K49" s="32"/>
    </row>
    <row x14ac:dyDescent="0.25" r="50" customHeight="1" ht="18.75">
      <c r="A50" s="49" t="s">
        <v>24</v>
      </c>
      <c r="B50" s="50" t="s">
        <v>24</v>
      </c>
      <c r="C50" s="36"/>
      <c r="D50" s="21"/>
      <c r="E50" s="53"/>
      <c r="F50" s="54"/>
      <c r="G50" s="55" t="s">
        <v>24</v>
      </c>
      <c r="H50" s="55" t="s">
        <v>24</v>
      </c>
      <c r="I50" s="55" t="s">
        <v>24</v>
      </c>
      <c r="J50" s="32"/>
      <c r="K50" s="32"/>
    </row>
    <row x14ac:dyDescent="0.25" r="51" customHeight="1" ht="18.75">
      <c r="A51" s="49" t="s">
        <v>24</v>
      </c>
      <c r="B51" s="50" t="s">
        <v>24</v>
      </c>
      <c r="C51" s="36"/>
      <c r="D51" s="21"/>
      <c r="E51" s="53"/>
      <c r="F51" s="54"/>
      <c r="G51" s="55" t="s">
        <v>24</v>
      </c>
      <c r="H51" s="55" t="s">
        <v>24</v>
      </c>
      <c r="I51" s="55" t="s">
        <v>24</v>
      </c>
      <c r="J51" s="32"/>
      <c r="K51" s="32"/>
    </row>
    <row x14ac:dyDescent="0.25" r="52" customHeight="1" ht="18.75">
      <c r="A52" s="49" t="s">
        <v>24</v>
      </c>
      <c r="B52" s="50" t="s">
        <v>24</v>
      </c>
      <c r="C52" s="36"/>
      <c r="D52" s="21"/>
      <c r="E52" s="53"/>
      <c r="F52" s="54"/>
      <c r="G52" s="55" t="s">
        <v>24</v>
      </c>
      <c r="H52" s="55" t="s">
        <v>24</v>
      </c>
      <c r="I52" s="55" t="s">
        <v>24</v>
      </c>
      <c r="J52" s="32"/>
      <c r="K52" s="32"/>
    </row>
    <row x14ac:dyDescent="0.25" r="53" customHeight="1" ht="18.75">
      <c r="A53" s="49" t="s">
        <v>24</v>
      </c>
      <c r="B53" s="50" t="s">
        <v>24</v>
      </c>
      <c r="C53" s="36"/>
      <c r="D53" s="21"/>
      <c r="E53" s="53"/>
      <c r="F53" s="54"/>
      <c r="G53" s="55" t="s">
        <v>24</v>
      </c>
      <c r="H53" s="55" t="s">
        <v>24</v>
      </c>
      <c r="I53" s="55" t="s">
        <v>24</v>
      </c>
      <c r="J53" s="32"/>
      <c r="K53" s="32"/>
    </row>
    <row x14ac:dyDescent="0.25" r="54" customHeight="1" ht="18.75">
      <c r="A54" s="49" t="s">
        <v>24</v>
      </c>
      <c r="B54" s="50" t="s">
        <v>24</v>
      </c>
      <c r="C54" s="36"/>
      <c r="D54" s="21"/>
      <c r="E54" s="53"/>
      <c r="F54" s="54"/>
      <c r="G54" s="55" t="s">
        <v>24</v>
      </c>
      <c r="H54" s="55" t="s">
        <v>24</v>
      </c>
      <c r="I54" s="55" t="s">
        <v>24</v>
      </c>
      <c r="J54" s="32"/>
      <c r="K54" s="32"/>
    </row>
    <row x14ac:dyDescent="0.25" r="55" customHeight="1" ht="18.75">
      <c r="A55" s="49" t="s">
        <v>24</v>
      </c>
      <c r="B55" s="50" t="s">
        <v>24</v>
      </c>
      <c r="C55" s="36"/>
      <c r="D55" s="21"/>
      <c r="E55" s="53"/>
      <c r="F55" s="54"/>
      <c r="G55" s="55" t="s">
        <v>24</v>
      </c>
      <c r="H55" s="55" t="s">
        <v>24</v>
      </c>
      <c r="I55" s="55" t="s">
        <v>24</v>
      </c>
      <c r="J55" s="32"/>
      <c r="K55" s="32"/>
    </row>
    <row x14ac:dyDescent="0.25" r="56" customHeight="1" ht="18.75">
      <c r="A56" s="49" t="s">
        <v>24</v>
      </c>
      <c r="B56" s="50" t="s">
        <v>24</v>
      </c>
      <c r="C56" s="36"/>
      <c r="D56" s="21"/>
      <c r="E56" s="53"/>
      <c r="F56" s="54"/>
      <c r="G56" s="55" t="s">
        <v>24</v>
      </c>
      <c r="H56" s="55" t="s">
        <v>24</v>
      </c>
      <c r="I56" s="55" t="s">
        <v>24</v>
      </c>
      <c r="J56" s="32"/>
      <c r="K56" s="32"/>
    </row>
    <row x14ac:dyDescent="0.25" r="57" customHeight="1" ht="18.75">
      <c r="A57" s="49" t="s">
        <v>24</v>
      </c>
      <c r="B57" s="50" t="s">
        <v>24</v>
      </c>
      <c r="C57" s="36"/>
      <c r="D57" s="21"/>
      <c r="E57" s="53"/>
      <c r="F57" s="54"/>
      <c r="G57" s="55" t="s">
        <v>24</v>
      </c>
      <c r="H57" s="55" t="s">
        <v>24</v>
      </c>
      <c r="I57" s="55" t="s">
        <v>24</v>
      </c>
      <c r="J57" s="32"/>
      <c r="K57" s="32"/>
    </row>
    <row x14ac:dyDescent="0.25" r="58" customHeight="1" ht="18.75">
      <c r="A58" s="49" t="s">
        <v>24</v>
      </c>
      <c r="B58" s="50" t="s">
        <v>24</v>
      </c>
      <c r="C58" s="36"/>
      <c r="D58" s="21"/>
      <c r="E58" s="53"/>
      <c r="F58" s="54"/>
      <c r="G58" s="55" t="s">
        <v>24</v>
      </c>
      <c r="H58" s="55" t="s">
        <v>24</v>
      </c>
      <c r="I58" s="55" t="s">
        <v>24</v>
      </c>
      <c r="J58" s="32"/>
      <c r="K58" s="32"/>
    </row>
    <row x14ac:dyDescent="0.25" r="59" customHeight="1" ht="18.75">
      <c r="A59" s="49" t="s">
        <v>24</v>
      </c>
      <c r="B59" s="50" t="s">
        <v>24</v>
      </c>
      <c r="C59" s="36"/>
      <c r="D59" s="21"/>
      <c r="E59" s="53"/>
      <c r="F59" s="54"/>
      <c r="G59" s="55" t="s">
        <v>24</v>
      </c>
      <c r="H59" s="55" t="s">
        <v>24</v>
      </c>
      <c r="I59" s="55" t="s">
        <v>24</v>
      </c>
      <c r="J59" s="32"/>
      <c r="K59" s="32"/>
    </row>
    <row x14ac:dyDescent="0.25" r="60" customHeight="1" ht="18.75">
      <c r="A60" s="49" t="s">
        <v>24</v>
      </c>
      <c r="B60" s="50" t="s">
        <v>24</v>
      </c>
      <c r="C60" s="36"/>
      <c r="D60" s="21"/>
      <c r="E60" s="53"/>
      <c r="F60" s="54"/>
      <c r="G60" s="55" t="s">
        <v>24</v>
      </c>
      <c r="H60" s="55" t="s">
        <v>24</v>
      </c>
      <c r="I60" s="55" t="s">
        <v>24</v>
      </c>
      <c r="J60" s="32"/>
      <c r="K60" s="32"/>
    </row>
    <row x14ac:dyDescent="0.25" r="61" customHeight="1" ht="18.75">
      <c r="A61" s="49" t="s">
        <v>24</v>
      </c>
      <c r="B61" s="50" t="s">
        <v>24</v>
      </c>
      <c r="C61" s="36"/>
      <c r="D61" s="21"/>
      <c r="E61" s="53"/>
      <c r="F61" s="54"/>
      <c r="G61" s="55" t="s">
        <v>24</v>
      </c>
      <c r="H61" s="55" t="s">
        <v>24</v>
      </c>
      <c r="I61" s="55" t="s">
        <v>24</v>
      </c>
      <c r="J61" s="32"/>
      <c r="K61" s="32"/>
    </row>
    <row x14ac:dyDescent="0.25" r="62" customHeight="1" ht="18.75">
      <c r="A62" s="49" t="s">
        <v>24</v>
      </c>
      <c r="B62" s="50" t="s">
        <v>24</v>
      </c>
      <c r="C62" s="36"/>
      <c r="D62" s="21"/>
      <c r="E62" s="53"/>
      <c r="F62" s="54"/>
      <c r="G62" s="55" t="s">
        <v>24</v>
      </c>
      <c r="H62" s="55" t="s">
        <v>24</v>
      </c>
      <c r="I62" s="55" t="s">
        <v>24</v>
      </c>
      <c r="J62" s="32"/>
      <c r="K62" s="32"/>
    </row>
    <row x14ac:dyDescent="0.25" r="63" customHeight="1" ht="18.75">
      <c r="A63" s="49" t="s">
        <v>24</v>
      </c>
      <c r="B63" s="50" t="s">
        <v>24</v>
      </c>
      <c r="C63" s="36"/>
      <c r="D63" s="21"/>
      <c r="E63" s="53"/>
      <c r="F63" s="54"/>
      <c r="G63" s="55" t="s">
        <v>24</v>
      </c>
      <c r="H63" s="55" t="s">
        <v>24</v>
      </c>
      <c r="I63" s="55" t="s">
        <v>24</v>
      </c>
      <c r="J63" s="32"/>
      <c r="K63" s="32"/>
    </row>
    <row x14ac:dyDescent="0.25" r="64" customHeight="1" ht="18.75">
      <c r="A64" s="49" t="s">
        <v>24</v>
      </c>
      <c r="B64" s="50" t="s">
        <v>24</v>
      </c>
      <c r="C64" s="36"/>
      <c r="D64" s="21"/>
      <c r="E64" s="53"/>
      <c r="F64" s="54"/>
      <c r="G64" s="55" t="s">
        <v>24</v>
      </c>
      <c r="H64" s="55" t="s">
        <v>24</v>
      </c>
      <c r="I64" s="55" t="s">
        <v>24</v>
      </c>
      <c r="J64" s="32"/>
      <c r="K64" s="32"/>
    </row>
    <row x14ac:dyDescent="0.25" r="65" customHeight="1" ht="18.75">
      <c r="A65" s="49" t="s">
        <v>24</v>
      </c>
      <c r="B65" s="50" t="s">
        <v>24</v>
      </c>
      <c r="C65" s="36"/>
      <c r="D65" s="21"/>
      <c r="E65" s="53"/>
      <c r="F65" s="54"/>
      <c r="G65" s="55" t="s">
        <v>24</v>
      </c>
      <c r="H65" s="55" t="s">
        <v>24</v>
      </c>
      <c r="I65" s="55" t="s">
        <v>24</v>
      </c>
      <c r="J65" s="32"/>
      <c r="K65" s="32"/>
    </row>
    <row x14ac:dyDescent="0.25" r="66" customHeight="1" ht="18.75">
      <c r="A66" s="49" t="s">
        <v>24</v>
      </c>
      <c r="B66" s="50" t="s">
        <v>24</v>
      </c>
      <c r="C66" s="36"/>
      <c r="D66" s="21"/>
      <c r="E66" s="53"/>
      <c r="F66" s="54"/>
      <c r="G66" s="55" t="s">
        <v>24</v>
      </c>
      <c r="H66" s="55" t="s">
        <v>24</v>
      </c>
      <c r="I66" s="55" t="s">
        <v>24</v>
      </c>
      <c r="J66" s="32"/>
      <c r="K66" s="32"/>
    </row>
    <row x14ac:dyDescent="0.25" r="67" customHeight="1" ht="18.75">
      <c r="A67" s="49" t="s">
        <v>24</v>
      </c>
      <c r="B67" s="50" t="s">
        <v>24</v>
      </c>
      <c r="C67" s="36"/>
      <c r="D67" s="21"/>
      <c r="E67" s="53"/>
      <c r="F67" s="54"/>
      <c r="G67" s="55" t="s">
        <v>24</v>
      </c>
      <c r="H67" s="55" t="s">
        <v>24</v>
      </c>
      <c r="I67" s="55" t="s">
        <v>24</v>
      </c>
      <c r="J67" s="32"/>
      <c r="K67" s="32"/>
    </row>
    <row x14ac:dyDescent="0.25" r="68" customHeight="1" ht="18.75">
      <c r="A68" s="49" t="s">
        <v>24</v>
      </c>
      <c r="B68" s="50" t="s">
        <v>24</v>
      </c>
      <c r="C68" s="36"/>
      <c r="D68" s="21"/>
      <c r="E68" s="53"/>
      <c r="F68" s="54"/>
      <c r="G68" s="55" t="s">
        <v>24</v>
      </c>
      <c r="H68" s="55" t="s">
        <v>24</v>
      </c>
      <c r="I68" s="55" t="s">
        <v>24</v>
      </c>
      <c r="J68" s="32"/>
      <c r="K68" s="32"/>
    </row>
    <row x14ac:dyDescent="0.25" r="69" customHeight="1" ht="18.75">
      <c r="A69" s="49" t="s">
        <v>24</v>
      </c>
      <c r="B69" s="50" t="s">
        <v>24</v>
      </c>
      <c r="C69" s="36"/>
      <c r="D69" s="21"/>
      <c r="E69" s="53"/>
      <c r="F69" s="54"/>
      <c r="G69" s="55" t="s">
        <v>24</v>
      </c>
      <c r="H69" s="55" t="s">
        <v>24</v>
      </c>
      <c r="I69" s="55" t="s">
        <v>24</v>
      </c>
      <c r="J69" s="32"/>
      <c r="K69" s="32"/>
    </row>
    <row x14ac:dyDescent="0.25" r="70" customHeight="1" ht="18.75">
      <c r="A70" s="49" t="s">
        <v>24</v>
      </c>
      <c r="B70" s="50" t="s">
        <v>24</v>
      </c>
      <c r="C70" s="36"/>
      <c r="D70" s="21"/>
      <c r="E70" s="53"/>
      <c r="F70" s="54"/>
      <c r="G70" s="55" t="s">
        <v>24</v>
      </c>
      <c r="H70" s="55" t="s">
        <v>24</v>
      </c>
      <c r="I70" s="55" t="s">
        <v>24</v>
      </c>
      <c r="J70" s="32"/>
      <c r="K70" s="32"/>
    </row>
    <row x14ac:dyDescent="0.25" r="71" customHeight="1" ht="18.75">
      <c r="A71" s="49" t="s">
        <v>24</v>
      </c>
      <c r="B71" s="50" t="s">
        <v>24</v>
      </c>
      <c r="C71" s="36"/>
      <c r="D71" s="21"/>
      <c r="E71" s="53"/>
      <c r="F71" s="54"/>
      <c r="G71" s="55" t="s">
        <v>24</v>
      </c>
      <c r="H71" s="55" t="s">
        <v>24</v>
      </c>
      <c r="I71" s="55" t="s">
        <v>24</v>
      </c>
      <c r="J71" s="32"/>
      <c r="K71" s="32"/>
    </row>
    <row x14ac:dyDescent="0.25" r="72" customHeight="1" ht="18.75">
      <c r="A72" s="49" t="s">
        <v>24</v>
      </c>
      <c r="B72" s="50" t="s">
        <v>24</v>
      </c>
      <c r="C72" s="36"/>
      <c r="D72" s="21"/>
      <c r="E72" s="53"/>
      <c r="F72" s="54"/>
      <c r="G72" s="55" t="s">
        <v>24</v>
      </c>
      <c r="H72" s="55" t="s">
        <v>24</v>
      </c>
      <c r="I72" s="55" t="s">
        <v>24</v>
      </c>
      <c r="J72" s="32"/>
      <c r="K72" s="32"/>
    </row>
    <row x14ac:dyDescent="0.25" r="73" customHeight="1" ht="18.75">
      <c r="A73" s="49" t="s">
        <v>24</v>
      </c>
      <c r="B73" s="50" t="s">
        <v>24</v>
      </c>
      <c r="C73" s="36"/>
      <c r="D73" s="21"/>
      <c r="E73" s="53"/>
      <c r="F73" s="54"/>
      <c r="G73" s="55" t="s">
        <v>24</v>
      </c>
      <c r="H73" s="55" t="s">
        <v>24</v>
      </c>
      <c r="I73" s="55" t="s">
        <v>24</v>
      </c>
      <c r="J73" s="32"/>
      <c r="K73" s="32"/>
    </row>
    <row x14ac:dyDescent="0.25" r="74" customHeight="1" ht="18.75">
      <c r="A74" s="49" t="s">
        <v>24</v>
      </c>
      <c r="B74" s="50" t="s">
        <v>24</v>
      </c>
      <c r="C74" s="36"/>
      <c r="D74" s="21"/>
      <c r="E74" s="53"/>
      <c r="F74" s="54"/>
      <c r="G74" s="55" t="s">
        <v>24</v>
      </c>
      <c r="H74" s="55" t="s">
        <v>24</v>
      </c>
      <c r="I74" s="55" t="s">
        <v>24</v>
      </c>
      <c r="J74" s="32"/>
      <c r="K74" s="32"/>
    </row>
    <row x14ac:dyDescent="0.25" r="75" customHeight="1" ht="18.75">
      <c r="A75" s="49" t="s">
        <v>24</v>
      </c>
      <c r="B75" s="50" t="s">
        <v>24</v>
      </c>
      <c r="C75" s="36"/>
      <c r="D75" s="21"/>
      <c r="E75" s="53"/>
      <c r="F75" s="54"/>
      <c r="G75" s="55" t="s">
        <v>24</v>
      </c>
      <c r="H75" s="55" t="s">
        <v>24</v>
      </c>
      <c r="I75" s="55" t="s">
        <v>24</v>
      </c>
      <c r="J75" s="32"/>
      <c r="K75" s="32"/>
    </row>
    <row x14ac:dyDescent="0.25" r="76" customHeight="1" ht="18.75">
      <c r="A76" s="49" t="s">
        <v>24</v>
      </c>
      <c r="B76" s="50" t="s">
        <v>24</v>
      </c>
      <c r="C76" s="36"/>
      <c r="D76" s="21"/>
      <c r="E76" s="53"/>
      <c r="F76" s="54"/>
      <c r="G76" s="55" t="s">
        <v>24</v>
      </c>
      <c r="H76" s="55" t="s">
        <v>24</v>
      </c>
      <c r="I76" s="55" t="s">
        <v>24</v>
      </c>
      <c r="J76" s="32"/>
      <c r="K76" s="32"/>
    </row>
    <row x14ac:dyDescent="0.25" r="77" customHeight="1" ht="18.75">
      <c r="A77" s="49" t="s">
        <v>24</v>
      </c>
      <c r="B77" s="50" t="s">
        <v>24</v>
      </c>
      <c r="C77" s="36"/>
      <c r="D77" s="21"/>
      <c r="E77" s="53"/>
      <c r="F77" s="54"/>
      <c r="G77" s="55" t="s">
        <v>24</v>
      </c>
      <c r="H77" s="55" t="s">
        <v>24</v>
      </c>
      <c r="I77" s="55" t="s">
        <v>24</v>
      </c>
      <c r="J77" s="32"/>
      <c r="K77" s="32"/>
    </row>
    <row x14ac:dyDescent="0.25" r="78" customHeight="1" ht="18.75">
      <c r="A78" s="49" t="s">
        <v>24</v>
      </c>
      <c r="B78" s="50" t="s">
        <v>24</v>
      </c>
      <c r="C78" s="36"/>
      <c r="D78" s="21"/>
      <c r="E78" s="53"/>
      <c r="F78" s="54"/>
      <c r="G78" s="55" t="s">
        <v>24</v>
      </c>
      <c r="H78" s="55" t="s">
        <v>24</v>
      </c>
      <c r="I78" s="55" t="s">
        <v>24</v>
      </c>
      <c r="J78" s="32"/>
      <c r="K78" s="32"/>
    </row>
    <row x14ac:dyDescent="0.25" r="79" customHeight="1" ht="18.75">
      <c r="A79" s="49" t="s">
        <v>24</v>
      </c>
      <c r="B79" s="50" t="s">
        <v>24</v>
      </c>
      <c r="C79" s="36"/>
      <c r="D79" s="21"/>
      <c r="E79" s="53"/>
      <c r="F79" s="54"/>
      <c r="G79" s="55" t="s">
        <v>24</v>
      </c>
      <c r="H79" s="55" t="s">
        <v>24</v>
      </c>
      <c r="I79" s="55" t="s">
        <v>24</v>
      </c>
      <c r="J79" s="32"/>
      <c r="K79" s="32"/>
    </row>
    <row x14ac:dyDescent="0.25" r="80" customHeight="1" ht="18.75">
      <c r="A80" s="49" t="s">
        <v>24</v>
      </c>
      <c r="B80" s="50" t="s">
        <v>24</v>
      </c>
      <c r="C80" s="36"/>
      <c r="D80" s="21"/>
      <c r="E80" s="53"/>
      <c r="F80" s="54"/>
      <c r="G80" s="55" t="s">
        <v>24</v>
      </c>
      <c r="H80" s="55" t="s">
        <v>24</v>
      </c>
      <c r="I80" s="55" t="s">
        <v>24</v>
      </c>
      <c r="J80" s="32"/>
      <c r="K80" s="32"/>
    </row>
    <row x14ac:dyDescent="0.25" r="81" customHeight="1" ht="18.75">
      <c r="A81" s="49" t="s">
        <v>24</v>
      </c>
      <c r="B81" s="50" t="s">
        <v>24</v>
      </c>
      <c r="C81" s="36"/>
      <c r="D81" s="21"/>
      <c r="E81" s="53"/>
      <c r="F81" s="54"/>
      <c r="G81" s="55" t="s">
        <v>24</v>
      </c>
      <c r="H81" s="55" t="s">
        <v>24</v>
      </c>
      <c r="I81" s="55" t="s">
        <v>24</v>
      </c>
      <c r="J81" s="32"/>
      <c r="K81" s="32"/>
    </row>
    <row x14ac:dyDescent="0.25" r="82" customHeight="1" ht="18.75">
      <c r="A82" s="49" t="s">
        <v>24</v>
      </c>
      <c r="B82" s="50" t="s">
        <v>24</v>
      </c>
      <c r="C82" s="36"/>
      <c r="D82" s="21"/>
      <c r="E82" s="53"/>
      <c r="F82" s="54"/>
      <c r="G82" s="55" t="s">
        <v>24</v>
      </c>
      <c r="H82" s="55" t="s">
        <v>24</v>
      </c>
      <c r="I82" s="55" t="s">
        <v>24</v>
      </c>
      <c r="J82" s="32"/>
      <c r="K82" s="32"/>
    </row>
    <row x14ac:dyDescent="0.25" r="83" customHeight="1" ht="18.75">
      <c r="A83" s="49" t="s">
        <v>24</v>
      </c>
      <c r="B83" s="50" t="s">
        <v>24</v>
      </c>
      <c r="C83" s="36"/>
      <c r="D83" s="21"/>
      <c r="E83" s="53"/>
      <c r="F83" s="54"/>
      <c r="G83" s="55" t="s">
        <v>24</v>
      </c>
      <c r="H83" s="55" t="s">
        <v>24</v>
      </c>
      <c r="I83" s="55" t="s">
        <v>24</v>
      </c>
      <c r="J83" s="32"/>
      <c r="K83" s="32"/>
    </row>
    <row x14ac:dyDescent="0.25" r="84" customHeight="1" ht="18.75">
      <c r="A84" s="49" t="s">
        <v>24</v>
      </c>
      <c r="B84" s="50" t="s">
        <v>24</v>
      </c>
      <c r="C84" s="36"/>
      <c r="D84" s="21"/>
      <c r="E84" s="53"/>
      <c r="F84" s="54"/>
      <c r="G84" s="55" t="s">
        <v>24</v>
      </c>
      <c r="H84" s="55" t="s">
        <v>24</v>
      </c>
      <c r="I84" s="55" t="s">
        <v>24</v>
      </c>
      <c r="J84" s="32"/>
      <c r="K84" s="32"/>
    </row>
    <row x14ac:dyDescent="0.25" r="85" customHeight="1" ht="18.75">
      <c r="A85" s="49" t="s">
        <v>24</v>
      </c>
      <c r="B85" s="50" t="s">
        <v>24</v>
      </c>
      <c r="C85" s="36"/>
      <c r="D85" s="21"/>
      <c r="E85" s="53"/>
      <c r="F85" s="54"/>
      <c r="G85" s="55" t="s">
        <v>24</v>
      </c>
      <c r="H85" s="55" t="s">
        <v>24</v>
      </c>
      <c r="I85" s="55" t="s">
        <v>24</v>
      </c>
      <c r="J85" s="32"/>
      <c r="K85" s="32"/>
    </row>
    <row x14ac:dyDescent="0.25" r="86" customHeight="1" ht="18.75">
      <c r="A86" s="49" t="s">
        <v>24</v>
      </c>
      <c r="B86" s="50" t="s">
        <v>24</v>
      </c>
      <c r="C86" s="36"/>
      <c r="D86" s="21"/>
      <c r="E86" s="53"/>
      <c r="F86" s="54"/>
      <c r="G86" s="55" t="s">
        <v>24</v>
      </c>
      <c r="H86" s="55" t="s">
        <v>24</v>
      </c>
      <c r="I86" s="55" t="s">
        <v>24</v>
      </c>
      <c r="J86" s="32"/>
      <c r="K86" s="32"/>
    </row>
    <row x14ac:dyDescent="0.25" r="87" customHeight="1" ht="18.75">
      <c r="A87" s="49" t="s">
        <v>24</v>
      </c>
      <c r="B87" s="50" t="s">
        <v>24</v>
      </c>
      <c r="C87" s="36"/>
      <c r="D87" s="21"/>
      <c r="E87" s="53"/>
      <c r="F87" s="54"/>
      <c r="G87" s="55" t="s">
        <v>24</v>
      </c>
      <c r="H87" s="55" t="s">
        <v>24</v>
      </c>
      <c r="I87" s="55" t="s">
        <v>24</v>
      </c>
      <c r="J87" s="32"/>
      <c r="K87" s="32"/>
    </row>
    <row x14ac:dyDescent="0.25" r="88" customHeight="1" ht="18.75">
      <c r="A88" s="49" t="s">
        <v>24</v>
      </c>
      <c r="B88" s="50" t="s">
        <v>24</v>
      </c>
      <c r="C88" s="36"/>
      <c r="D88" s="21"/>
      <c r="E88" s="53"/>
      <c r="F88" s="54"/>
      <c r="G88" s="55" t="s">
        <v>24</v>
      </c>
      <c r="H88" s="55" t="s">
        <v>24</v>
      </c>
      <c r="I88" s="55" t="s">
        <v>24</v>
      </c>
      <c r="J88" s="32"/>
      <c r="K88" s="32"/>
    </row>
    <row x14ac:dyDescent="0.25" r="89" customHeight="1" ht="18.75">
      <c r="A89" s="49" t="s">
        <v>24</v>
      </c>
      <c r="B89" s="50" t="s">
        <v>24</v>
      </c>
      <c r="C89" s="36"/>
      <c r="D89" s="21"/>
      <c r="E89" s="53"/>
      <c r="F89" s="54"/>
      <c r="G89" s="55" t="s">
        <v>24</v>
      </c>
      <c r="H89" s="55" t="s">
        <v>24</v>
      </c>
      <c r="I89" s="55" t="s">
        <v>24</v>
      </c>
      <c r="J89" s="32"/>
      <c r="K89" s="32"/>
    </row>
    <row x14ac:dyDescent="0.25" r="90" customHeight="1" ht="18.75">
      <c r="A90" s="49" t="s">
        <v>24</v>
      </c>
      <c r="B90" s="50" t="s">
        <v>24</v>
      </c>
      <c r="C90" s="36"/>
      <c r="D90" s="21"/>
      <c r="E90" s="53"/>
      <c r="F90" s="54"/>
      <c r="G90" s="55" t="s">
        <v>24</v>
      </c>
      <c r="H90" s="55" t="s">
        <v>24</v>
      </c>
      <c r="I90" s="55" t="s">
        <v>24</v>
      </c>
      <c r="J90" s="32"/>
      <c r="K90" s="32"/>
    </row>
    <row x14ac:dyDescent="0.25" r="91" customHeight="1" ht="18.75">
      <c r="A91" s="49" t="s">
        <v>24</v>
      </c>
      <c r="B91" s="50" t="s">
        <v>24</v>
      </c>
      <c r="C91" s="36"/>
      <c r="D91" s="21"/>
      <c r="E91" s="53"/>
      <c r="F91" s="54"/>
      <c r="G91" s="55" t="s">
        <v>24</v>
      </c>
      <c r="H91" s="55" t="s">
        <v>24</v>
      </c>
      <c r="I91" s="55" t="s">
        <v>24</v>
      </c>
      <c r="J91" s="32"/>
      <c r="K91" s="32"/>
    </row>
    <row x14ac:dyDescent="0.25" r="92" customHeight="1" ht="18.75">
      <c r="A92" s="49" t="s">
        <v>24</v>
      </c>
      <c r="B92" s="50" t="s">
        <v>24</v>
      </c>
      <c r="C92" s="36"/>
      <c r="D92" s="21"/>
      <c r="E92" s="53"/>
      <c r="F92" s="54"/>
      <c r="G92" s="55" t="s">
        <v>24</v>
      </c>
      <c r="H92" s="55" t="s">
        <v>24</v>
      </c>
      <c r="I92" s="55" t="s">
        <v>24</v>
      </c>
      <c r="J92" s="32"/>
      <c r="K92" s="32"/>
    </row>
    <row x14ac:dyDescent="0.25" r="93" customHeight="1" ht="18.75">
      <c r="A93" s="49" t="s">
        <v>24</v>
      </c>
      <c r="B93" s="50" t="s">
        <v>24</v>
      </c>
      <c r="C93" s="36"/>
      <c r="D93" s="21"/>
      <c r="E93" s="53"/>
      <c r="F93" s="54"/>
      <c r="G93" s="55" t="s">
        <v>24</v>
      </c>
      <c r="H93" s="55" t="s">
        <v>24</v>
      </c>
      <c r="I93" s="55" t="s">
        <v>24</v>
      </c>
      <c r="J93" s="32"/>
      <c r="K93" s="32"/>
    </row>
    <row x14ac:dyDescent="0.25" r="94" customHeight="1" ht="18.75">
      <c r="A94" s="49" t="s">
        <v>24</v>
      </c>
      <c r="B94" s="50" t="s">
        <v>24</v>
      </c>
      <c r="C94" s="36"/>
      <c r="D94" s="21"/>
      <c r="E94" s="53"/>
      <c r="F94" s="54"/>
      <c r="G94" s="55" t="s">
        <v>24</v>
      </c>
      <c r="H94" s="55" t="s">
        <v>24</v>
      </c>
      <c r="I94" s="55" t="s">
        <v>24</v>
      </c>
      <c r="J94" s="32"/>
      <c r="K94" s="32"/>
    </row>
    <row x14ac:dyDescent="0.25" r="95" customHeight="1" ht="18.75">
      <c r="A95" s="49" t="s">
        <v>24</v>
      </c>
      <c r="B95" s="50" t="s">
        <v>24</v>
      </c>
      <c r="C95" s="36"/>
      <c r="D95" s="21"/>
      <c r="E95" s="53"/>
      <c r="F95" s="54"/>
      <c r="G95" s="55" t="s">
        <v>24</v>
      </c>
      <c r="H95" s="55" t="s">
        <v>24</v>
      </c>
      <c r="I95" s="55" t="s">
        <v>24</v>
      </c>
      <c r="J95" s="32"/>
      <c r="K95" s="32"/>
    </row>
    <row x14ac:dyDescent="0.25" r="96" customHeight="1" ht="18.75">
      <c r="A96" s="49" t="s">
        <v>24</v>
      </c>
      <c r="B96" s="50" t="s">
        <v>24</v>
      </c>
      <c r="C96" s="36"/>
      <c r="D96" s="21"/>
      <c r="E96" s="53"/>
      <c r="F96" s="54"/>
      <c r="G96" s="55" t="s">
        <v>24</v>
      </c>
      <c r="H96" s="55" t="s">
        <v>24</v>
      </c>
      <c r="I96" s="55" t="s">
        <v>24</v>
      </c>
      <c r="J96" s="32"/>
      <c r="K96" s="32"/>
    </row>
    <row x14ac:dyDescent="0.25" r="97" customHeight="1" ht="18.75">
      <c r="A97" s="49" t="s">
        <v>24</v>
      </c>
      <c r="B97" s="50" t="s">
        <v>24</v>
      </c>
      <c r="C97" s="36"/>
      <c r="D97" s="21"/>
      <c r="E97" s="53"/>
      <c r="F97" s="54"/>
      <c r="G97" s="55" t="s">
        <v>24</v>
      </c>
      <c r="H97" s="55" t="s">
        <v>24</v>
      </c>
      <c r="I97" s="55" t="s">
        <v>24</v>
      </c>
      <c r="J97" s="32"/>
      <c r="K97" s="32"/>
    </row>
    <row x14ac:dyDescent="0.25" r="98" customHeight="1" ht="18.75">
      <c r="A98" s="49" t="s">
        <v>24</v>
      </c>
      <c r="B98" s="50" t="s">
        <v>24</v>
      </c>
      <c r="C98" s="36"/>
      <c r="D98" s="21"/>
      <c r="E98" s="53"/>
      <c r="F98" s="54"/>
      <c r="G98" s="55" t="s">
        <v>24</v>
      </c>
      <c r="H98" s="55" t="s">
        <v>24</v>
      </c>
      <c r="I98" s="55" t="s">
        <v>24</v>
      </c>
      <c r="J98" s="32"/>
      <c r="K98" s="32"/>
    </row>
    <row x14ac:dyDescent="0.25" r="99" customHeight="1" ht="18.75">
      <c r="A99" s="49" t="s">
        <v>24</v>
      </c>
      <c r="B99" s="50" t="s">
        <v>24</v>
      </c>
      <c r="C99" s="36"/>
      <c r="D99" s="21"/>
      <c r="E99" s="53"/>
      <c r="F99" s="54"/>
      <c r="G99" s="55" t="s">
        <v>24</v>
      </c>
      <c r="H99" s="55" t="s">
        <v>24</v>
      </c>
      <c r="I99" s="55" t="s">
        <v>24</v>
      </c>
      <c r="J99" s="32"/>
      <c r="K99" s="32"/>
    </row>
    <row x14ac:dyDescent="0.25" r="100" customHeight="1" ht="18.75">
      <c r="A100" s="49" t="s">
        <v>24</v>
      </c>
      <c r="B100" s="50" t="s">
        <v>24</v>
      </c>
      <c r="C100" s="36"/>
      <c r="D100" s="21"/>
      <c r="E100" s="53"/>
      <c r="F100" s="54"/>
      <c r="G100" s="55" t="s">
        <v>24</v>
      </c>
      <c r="H100" s="55" t="s">
        <v>24</v>
      </c>
      <c r="I100" s="55" t="s">
        <v>24</v>
      </c>
      <c r="J100" s="32"/>
      <c r="K100" s="32"/>
    </row>
    <row x14ac:dyDescent="0.25" r="101" customHeight="1" ht="18.75">
      <c r="A101" s="49" t="s">
        <v>24</v>
      </c>
      <c r="B101" s="50" t="s">
        <v>24</v>
      </c>
      <c r="C101" s="36"/>
      <c r="D101" s="21"/>
      <c r="E101" s="53"/>
      <c r="F101" s="54"/>
      <c r="G101" s="55" t="s">
        <v>24</v>
      </c>
      <c r="H101" s="55" t="s">
        <v>24</v>
      </c>
      <c r="I101" s="55" t="s">
        <v>24</v>
      </c>
      <c r="J101" s="32"/>
      <c r="K101" s="32"/>
    </row>
    <row x14ac:dyDescent="0.25" r="102" customHeight="1" ht="18.75">
      <c r="A102" s="49" t="s">
        <v>24</v>
      </c>
      <c r="B102" s="50" t="s">
        <v>24</v>
      </c>
      <c r="C102" s="36"/>
      <c r="D102" s="21"/>
      <c r="E102" s="53"/>
      <c r="F102" s="54"/>
      <c r="G102" s="55" t="s">
        <v>24</v>
      </c>
      <c r="H102" s="55" t="s">
        <v>24</v>
      </c>
      <c r="I102" s="55" t="s">
        <v>24</v>
      </c>
      <c r="J102" s="32"/>
      <c r="K102" s="32"/>
    </row>
    <row x14ac:dyDescent="0.25" r="103" customHeight="1" ht="18.75">
      <c r="A103" s="49" t="s">
        <v>24</v>
      </c>
      <c r="B103" s="50" t="s">
        <v>24</v>
      </c>
      <c r="C103" s="36"/>
      <c r="D103" s="21"/>
      <c r="E103" s="53"/>
      <c r="F103" s="54"/>
      <c r="G103" s="55" t="s">
        <v>24</v>
      </c>
      <c r="H103" s="55" t="s">
        <v>24</v>
      </c>
      <c r="I103" s="55" t="s">
        <v>24</v>
      </c>
      <c r="J103" s="32"/>
      <c r="K103" s="32"/>
    </row>
    <row x14ac:dyDescent="0.25" r="104" customHeight="1" ht="18.75">
      <c r="A104" s="49" t="s">
        <v>24</v>
      </c>
      <c r="B104" s="50" t="s">
        <v>24</v>
      </c>
      <c r="C104" s="36"/>
      <c r="D104" s="21"/>
      <c r="E104" s="53"/>
      <c r="F104" s="54"/>
      <c r="G104" s="55" t="s">
        <v>24</v>
      </c>
      <c r="H104" s="55" t="s">
        <v>24</v>
      </c>
      <c r="I104" s="55" t="s">
        <v>24</v>
      </c>
      <c r="J104" s="32"/>
      <c r="K104" s="32"/>
    </row>
    <row x14ac:dyDescent="0.25" r="105" customHeight="1" ht="18.75">
      <c r="A105" s="49" t="s">
        <v>24</v>
      </c>
      <c r="B105" s="50" t="s">
        <v>24</v>
      </c>
      <c r="C105" s="36"/>
      <c r="D105" s="21"/>
      <c r="E105" s="53"/>
      <c r="F105" s="54"/>
      <c r="G105" s="55" t="s">
        <v>24</v>
      </c>
      <c r="H105" s="55" t="s">
        <v>24</v>
      </c>
      <c r="I105" s="55" t="s">
        <v>24</v>
      </c>
      <c r="J105" s="32"/>
      <c r="K105" s="32"/>
    </row>
    <row x14ac:dyDescent="0.25" r="106" customHeight="1" ht="18.75">
      <c r="A106" s="49" t="s">
        <v>24</v>
      </c>
      <c r="B106" s="50" t="s">
        <v>24</v>
      </c>
      <c r="C106" s="36"/>
      <c r="D106" s="21"/>
      <c r="E106" s="53"/>
      <c r="F106" s="54"/>
      <c r="G106" s="55" t="s">
        <v>24</v>
      </c>
      <c r="H106" s="55" t="s">
        <v>24</v>
      </c>
      <c r="I106" s="55" t="s">
        <v>24</v>
      </c>
      <c r="J106" s="32"/>
      <c r="K106" s="32"/>
    </row>
    <row x14ac:dyDescent="0.25" r="107" customHeight="1" ht="18.75">
      <c r="A107" s="49" t="s">
        <v>24</v>
      </c>
      <c r="B107" s="50" t="s">
        <v>24</v>
      </c>
      <c r="C107" s="36"/>
      <c r="D107" s="21"/>
      <c r="E107" s="53"/>
      <c r="F107" s="54"/>
      <c r="G107" s="55" t="s">
        <v>24</v>
      </c>
      <c r="H107" s="55" t="s">
        <v>24</v>
      </c>
      <c r="I107" s="55" t="s">
        <v>24</v>
      </c>
      <c r="J107" s="32"/>
      <c r="K107" s="32"/>
    </row>
    <row x14ac:dyDescent="0.25" r="108" customHeight="1" ht="18.75">
      <c r="A108" s="49" t="s">
        <v>24</v>
      </c>
      <c r="B108" s="50" t="s">
        <v>24</v>
      </c>
      <c r="C108" s="36"/>
      <c r="D108" s="21"/>
      <c r="E108" s="53"/>
      <c r="F108" s="54"/>
      <c r="G108" s="55" t="s">
        <v>24</v>
      </c>
      <c r="H108" s="55" t="s">
        <v>24</v>
      </c>
      <c r="I108" s="55" t="s">
        <v>24</v>
      </c>
      <c r="J108" s="32"/>
      <c r="K108" s="32"/>
    </row>
    <row x14ac:dyDescent="0.25" r="109" customHeight="1" ht="18.75">
      <c r="A109" s="49" t="s">
        <v>24</v>
      </c>
      <c r="B109" s="50" t="s">
        <v>24</v>
      </c>
      <c r="C109" s="36"/>
      <c r="D109" s="21"/>
      <c r="E109" s="53"/>
      <c r="F109" s="54"/>
      <c r="G109" s="55" t="s">
        <v>24</v>
      </c>
      <c r="H109" s="55" t="s">
        <v>24</v>
      </c>
      <c r="I109" s="55" t="s">
        <v>24</v>
      </c>
      <c r="J109" s="32"/>
      <c r="K109" s="32"/>
    </row>
    <row x14ac:dyDescent="0.25" r="110" customHeight="1" ht="18.75">
      <c r="A110" s="49" t="s">
        <v>24</v>
      </c>
      <c r="B110" s="50" t="s">
        <v>24</v>
      </c>
      <c r="C110" s="36"/>
      <c r="D110" s="21"/>
      <c r="E110" s="53"/>
      <c r="F110" s="54"/>
      <c r="G110" s="55" t="s">
        <v>24</v>
      </c>
      <c r="H110" s="55" t="s">
        <v>24</v>
      </c>
      <c r="I110" s="55" t="s">
        <v>24</v>
      </c>
      <c r="J110" s="32"/>
      <c r="K110" s="32"/>
    </row>
    <row x14ac:dyDescent="0.25" r="111" customHeight="1" ht="18.75">
      <c r="A111" s="49" t="s">
        <v>24</v>
      </c>
      <c r="B111" s="50" t="s">
        <v>24</v>
      </c>
      <c r="C111" s="36"/>
      <c r="D111" s="21"/>
      <c r="E111" s="53"/>
      <c r="F111" s="54"/>
      <c r="G111" s="55" t="s">
        <v>24</v>
      </c>
      <c r="H111" s="55" t="s">
        <v>24</v>
      </c>
      <c r="I111" s="55" t="s">
        <v>24</v>
      </c>
      <c r="J111" s="32"/>
      <c r="K111" s="32"/>
    </row>
    <row x14ac:dyDescent="0.25" r="112" customHeight="1" ht="18.75">
      <c r="A112" s="49" t="s">
        <v>24</v>
      </c>
      <c r="B112" s="50" t="s">
        <v>24</v>
      </c>
      <c r="C112" s="36"/>
      <c r="D112" s="21"/>
      <c r="E112" s="53"/>
      <c r="F112" s="54"/>
      <c r="G112" s="55" t="s">
        <v>24</v>
      </c>
      <c r="H112" s="55" t="s">
        <v>24</v>
      </c>
      <c r="I112" s="55" t="s">
        <v>24</v>
      </c>
      <c r="J112" s="32"/>
      <c r="K112" s="32"/>
    </row>
    <row x14ac:dyDescent="0.25" r="113" customHeight="1" ht="18.75">
      <c r="A113" s="49" t="s">
        <v>24</v>
      </c>
      <c r="B113" s="50" t="s">
        <v>24</v>
      </c>
      <c r="C113" s="36"/>
      <c r="D113" s="21"/>
      <c r="E113" s="53"/>
      <c r="F113" s="54"/>
      <c r="G113" s="55" t="s">
        <v>24</v>
      </c>
      <c r="H113" s="55" t="s">
        <v>24</v>
      </c>
      <c r="I113" s="55" t="s">
        <v>24</v>
      </c>
      <c r="J113" s="32"/>
      <c r="K113" s="32"/>
    </row>
    <row x14ac:dyDescent="0.25" r="114" customHeight="1" ht="18.75">
      <c r="A114" s="49" t="s">
        <v>24</v>
      </c>
      <c r="B114" s="50" t="s">
        <v>24</v>
      </c>
      <c r="C114" s="36"/>
      <c r="D114" s="21"/>
      <c r="E114" s="53"/>
      <c r="F114" s="54"/>
      <c r="G114" s="55" t="s">
        <v>24</v>
      </c>
      <c r="H114" s="55" t="s">
        <v>24</v>
      </c>
      <c r="I114" s="55" t="s">
        <v>24</v>
      </c>
      <c r="J114" s="32"/>
      <c r="K114" s="32"/>
    </row>
    <row x14ac:dyDescent="0.25" r="115" customHeight="1" ht="18.75">
      <c r="A115" s="49" t="s">
        <v>24</v>
      </c>
      <c r="B115" s="50" t="s">
        <v>24</v>
      </c>
      <c r="C115" s="36"/>
      <c r="D115" s="21"/>
      <c r="E115" s="53"/>
      <c r="F115" s="54"/>
      <c r="G115" s="55" t="s">
        <v>24</v>
      </c>
      <c r="H115" s="55" t="s">
        <v>24</v>
      </c>
      <c r="I115" s="55" t="s">
        <v>24</v>
      </c>
      <c r="J115" s="32"/>
      <c r="K115" s="32"/>
    </row>
    <row x14ac:dyDescent="0.25" r="116" customHeight="1" ht="18.75">
      <c r="A116" s="49" t="s">
        <v>24</v>
      </c>
      <c r="B116" s="50" t="s">
        <v>24</v>
      </c>
      <c r="C116" s="36"/>
      <c r="D116" s="21"/>
      <c r="E116" s="53"/>
      <c r="F116" s="54"/>
      <c r="G116" s="55" t="s">
        <v>24</v>
      </c>
      <c r="H116" s="55" t="s">
        <v>24</v>
      </c>
      <c r="I116" s="55" t="s">
        <v>24</v>
      </c>
      <c r="J116" s="32"/>
      <c r="K116" s="32"/>
    </row>
    <row x14ac:dyDescent="0.25" r="117" customHeight="1" ht="18.75">
      <c r="A117" s="49" t="s">
        <v>24</v>
      </c>
      <c r="B117" s="50" t="s">
        <v>24</v>
      </c>
      <c r="C117" s="36"/>
      <c r="D117" s="21"/>
      <c r="E117" s="53"/>
      <c r="F117" s="54"/>
      <c r="G117" s="55" t="s">
        <v>24</v>
      </c>
      <c r="H117" s="55" t="s">
        <v>24</v>
      </c>
      <c r="I117" s="55" t="s">
        <v>24</v>
      </c>
      <c r="J117" s="32"/>
      <c r="K117" s="32"/>
    </row>
    <row x14ac:dyDescent="0.25" r="118" customHeight="1" ht="18.75">
      <c r="A118" s="49" t="s">
        <v>24</v>
      </c>
      <c r="B118" s="50" t="s">
        <v>24</v>
      </c>
      <c r="C118" s="36"/>
      <c r="D118" s="21"/>
      <c r="E118" s="53"/>
      <c r="F118" s="54"/>
      <c r="G118" s="55" t="s">
        <v>24</v>
      </c>
      <c r="H118" s="55" t="s">
        <v>24</v>
      </c>
      <c r="I118" s="55" t="s">
        <v>24</v>
      </c>
      <c r="J118" s="32"/>
      <c r="K118" s="32"/>
    </row>
    <row x14ac:dyDescent="0.25" r="119" customHeight="1" ht="18.75">
      <c r="A119" s="49" t="s">
        <v>24</v>
      </c>
      <c r="B119" s="50" t="s">
        <v>24</v>
      </c>
      <c r="C119" s="36"/>
      <c r="D119" s="21"/>
      <c r="E119" s="53"/>
      <c r="F119" s="54"/>
      <c r="G119" s="55" t="s">
        <v>24</v>
      </c>
      <c r="H119" s="55" t="s">
        <v>24</v>
      </c>
      <c r="I119" s="55" t="s">
        <v>24</v>
      </c>
      <c r="J119" s="32"/>
      <c r="K119" s="32"/>
    </row>
    <row x14ac:dyDescent="0.25" r="120" customHeight="1" ht="18.75">
      <c r="A120" s="49" t="s">
        <v>24</v>
      </c>
      <c r="B120" s="50" t="s">
        <v>24</v>
      </c>
      <c r="C120" s="36"/>
      <c r="D120" s="21"/>
      <c r="E120" s="53"/>
      <c r="F120" s="54"/>
      <c r="G120" s="55" t="s">
        <v>24</v>
      </c>
      <c r="H120" s="55" t="s">
        <v>24</v>
      </c>
      <c r="I120" s="55" t="s">
        <v>24</v>
      </c>
      <c r="J120" s="32"/>
      <c r="K120" s="32"/>
    </row>
    <row x14ac:dyDescent="0.25" r="121" customHeight="1" ht="18.75">
      <c r="A121" s="49" t="s">
        <v>24</v>
      </c>
      <c r="B121" s="50" t="s">
        <v>24</v>
      </c>
      <c r="C121" s="36"/>
      <c r="D121" s="21"/>
      <c r="E121" s="53"/>
      <c r="F121" s="54"/>
      <c r="G121" s="55" t="s">
        <v>24</v>
      </c>
      <c r="H121" s="55" t="s">
        <v>24</v>
      </c>
      <c r="I121" s="55" t="s">
        <v>24</v>
      </c>
      <c r="J121" s="32"/>
      <c r="K121" s="32"/>
    </row>
    <row x14ac:dyDescent="0.25" r="122" customHeight="1" ht="18.75">
      <c r="A122" s="49" t="s">
        <v>24</v>
      </c>
      <c r="B122" s="50" t="s">
        <v>24</v>
      </c>
      <c r="C122" s="36"/>
      <c r="D122" s="21"/>
      <c r="E122" s="53"/>
      <c r="F122" s="54"/>
      <c r="G122" s="55" t="s">
        <v>24</v>
      </c>
      <c r="H122" s="55" t="s">
        <v>24</v>
      </c>
      <c r="I122" s="55" t="s">
        <v>24</v>
      </c>
      <c r="J122" s="32"/>
      <c r="K122" s="32"/>
    </row>
    <row x14ac:dyDescent="0.25" r="123" customHeight="1" ht="18.75">
      <c r="A123" s="49" t="s">
        <v>24</v>
      </c>
      <c r="B123" s="50" t="s">
        <v>24</v>
      </c>
      <c r="C123" s="36"/>
      <c r="D123" s="21"/>
      <c r="E123" s="53"/>
      <c r="F123" s="54"/>
      <c r="G123" s="55" t="s">
        <v>24</v>
      </c>
      <c r="H123" s="55" t="s">
        <v>24</v>
      </c>
      <c r="I123" s="55" t="s">
        <v>24</v>
      </c>
      <c r="J123" s="32"/>
      <c r="K123" s="32"/>
    </row>
    <row x14ac:dyDescent="0.25" r="124" customHeight="1" ht="18.75">
      <c r="A124" s="49" t="s">
        <v>24</v>
      </c>
      <c r="B124" s="50" t="s">
        <v>24</v>
      </c>
      <c r="C124" s="36"/>
      <c r="D124" s="21"/>
      <c r="E124" s="53"/>
      <c r="F124" s="54"/>
      <c r="G124" s="55" t="s">
        <v>24</v>
      </c>
      <c r="H124" s="55" t="s">
        <v>24</v>
      </c>
      <c r="I124" s="55" t="s">
        <v>24</v>
      </c>
      <c r="J124" s="32"/>
      <c r="K124" s="32"/>
    </row>
    <row x14ac:dyDescent="0.25" r="125" customHeight="1" ht="18.75">
      <c r="A125" s="49" t="s">
        <v>24</v>
      </c>
      <c r="B125" s="50" t="s">
        <v>24</v>
      </c>
      <c r="C125" s="36"/>
      <c r="D125" s="21"/>
      <c r="E125" s="53"/>
      <c r="F125" s="54"/>
      <c r="G125" s="55" t="s">
        <v>24</v>
      </c>
      <c r="H125" s="55" t="s">
        <v>24</v>
      </c>
      <c r="I125" s="55" t="s">
        <v>24</v>
      </c>
      <c r="J125" s="32"/>
      <c r="K125" s="32"/>
    </row>
    <row x14ac:dyDescent="0.25" r="126" customHeight="1" ht="18.75">
      <c r="A126" s="49" t="s">
        <v>24</v>
      </c>
      <c r="B126" s="50" t="s">
        <v>24</v>
      </c>
      <c r="C126" s="36"/>
      <c r="D126" s="21"/>
      <c r="E126" s="53"/>
      <c r="F126" s="54"/>
      <c r="G126" s="55" t="s">
        <v>24</v>
      </c>
      <c r="H126" s="55" t="s">
        <v>24</v>
      </c>
      <c r="I126" s="55" t="s">
        <v>24</v>
      </c>
      <c r="J126" s="32"/>
      <c r="K126" s="32"/>
    </row>
    <row x14ac:dyDescent="0.25" r="127" customHeight="1" ht="18.75">
      <c r="A127" s="49" t="s">
        <v>24</v>
      </c>
      <c r="B127" s="50" t="s">
        <v>24</v>
      </c>
      <c r="C127" s="36"/>
      <c r="D127" s="21"/>
      <c r="E127" s="53"/>
      <c r="F127" s="54"/>
      <c r="G127" s="55" t="s">
        <v>24</v>
      </c>
      <c r="H127" s="55" t="s">
        <v>24</v>
      </c>
      <c r="I127" s="55" t="s">
        <v>24</v>
      </c>
      <c r="J127" s="32"/>
      <c r="K127" s="32"/>
    </row>
    <row x14ac:dyDescent="0.25" r="128" customHeight="1" ht="18.75">
      <c r="A128" s="49" t="s">
        <v>24</v>
      </c>
      <c r="B128" s="50" t="s">
        <v>24</v>
      </c>
      <c r="C128" s="36"/>
      <c r="D128" s="21"/>
      <c r="E128" s="53"/>
      <c r="F128" s="54"/>
      <c r="G128" s="55" t="s">
        <v>24</v>
      </c>
      <c r="H128" s="55" t="s">
        <v>24</v>
      </c>
      <c r="I128" s="55" t="s">
        <v>24</v>
      </c>
      <c r="J128" s="32"/>
      <c r="K128" s="32"/>
    </row>
    <row x14ac:dyDescent="0.25" r="129" customHeight="1" ht="18.75">
      <c r="A129" s="49" t="s">
        <v>24</v>
      </c>
      <c r="B129" s="50" t="s">
        <v>24</v>
      </c>
      <c r="C129" s="36"/>
      <c r="D129" s="21"/>
      <c r="E129" s="53"/>
      <c r="F129" s="54"/>
      <c r="G129" s="55" t="s">
        <v>24</v>
      </c>
      <c r="H129" s="55" t="s">
        <v>24</v>
      </c>
      <c r="I129" s="55" t="s">
        <v>24</v>
      </c>
      <c r="J129" s="32"/>
      <c r="K129" s="32"/>
    </row>
    <row x14ac:dyDescent="0.25" r="130" customHeight="1" ht="18.75">
      <c r="A130" s="49" t="s">
        <v>24</v>
      </c>
      <c r="B130" s="50" t="s">
        <v>24</v>
      </c>
      <c r="C130" s="36"/>
      <c r="D130" s="21"/>
      <c r="E130" s="53"/>
      <c r="F130" s="54"/>
      <c r="G130" s="55" t="s">
        <v>24</v>
      </c>
      <c r="H130" s="55" t="s">
        <v>24</v>
      </c>
      <c r="I130" s="55" t="s">
        <v>24</v>
      </c>
      <c r="J130" s="32"/>
      <c r="K130" s="32"/>
    </row>
    <row x14ac:dyDescent="0.25" r="131" customHeight="1" ht="18.75">
      <c r="A131" s="33"/>
      <c r="B131" s="28"/>
      <c r="C131" s="29"/>
      <c r="D131" s="29"/>
      <c r="E131" s="30"/>
      <c r="F131" s="30"/>
      <c r="G131" s="31"/>
      <c r="H131" s="31"/>
      <c r="I131" s="31"/>
      <c r="J131" s="32"/>
      <c r="K131" s="32"/>
    </row>
    <row x14ac:dyDescent="0.25" r="132" customHeight="1" ht="18.75">
      <c r="A132" s="33"/>
      <c r="B132" s="28"/>
      <c r="C132" s="29"/>
      <c r="D132" s="29"/>
      <c r="E132" s="30"/>
      <c r="F132" s="30"/>
      <c r="G132" s="31"/>
      <c r="H132" s="31"/>
      <c r="I132" s="31"/>
      <c r="J132" s="32"/>
      <c r="K132" s="32"/>
    </row>
    <row x14ac:dyDescent="0.25" r="133" customHeight="1" ht="18.75" customFormat="1" s="43">
      <c r="A133" s="58" t="s">
        <v>24</v>
      </c>
      <c r="B133" s="59"/>
      <c r="C133" s="32"/>
      <c r="D133" s="32"/>
      <c r="E133" s="60"/>
      <c r="F133" s="60"/>
      <c r="G133" s="61"/>
      <c r="H133" s="61"/>
      <c r="I133" s="61"/>
      <c r="J133" s="32"/>
      <c r="K133" s="32"/>
    </row>
    <row x14ac:dyDescent="0.25" r="134" customHeight="1" ht="18.75">
      <c r="A134" s="33"/>
      <c r="B134" s="28"/>
      <c r="C134" s="29"/>
      <c r="D134" s="29"/>
      <c r="E134" s="30"/>
      <c r="F134" s="30"/>
      <c r="G134" s="31"/>
      <c r="H134" s="31"/>
      <c r="I134" s="31"/>
      <c r="J134" s="32"/>
      <c r="K134" s="32"/>
    </row>
  </sheetData>
  <mergeCells count="9">
    <mergeCell ref="A1:I1"/>
    <mergeCell ref="B3:D3"/>
    <mergeCell ref="G3:I3"/>
    <mergeCell ref="B4:D4"/>
    <mergeCell ref="B5:D5"/>
    <mergeCell ref="B6:D6"/>
    <mergeCell ref="B7:D7"/>
    <mergeCell ref="B8:D8"/>
    <mergeCell ref="A133:I1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26" width="13.576428571428572" customWidth="1" bestFit="1"/>
  </cols>
  <sheetData>
    <row x14ac:dyDescent="0.25" r="1" customHeight="1" ht="30">
      <c r="A1" s="15" t="s">
        <v>11</v>
      </c>
      <c r="B1" s="3"/>
      <c r="C1" s="3"/>
      <c r="D1" s="3"/>
      <c r="E1" s="3"/>
      <c r="F1" s="16"/>
    </row>
    <row x14ac:dyDescent="0.25" r="2" customHeight="1" ht="18.75">
      <c r="A2" s="2"/>
      <c r="B2" s="3"/>
      <c r="C2" s="3"/>
      <c r="D2" s="3"/>
      <c r="E2" s="3"/>
      <c r="F2" s="16"/>
    </row>
    <row x14ac:dyDescent="0.25" r="3" customHeight="1" ht="18.75">
      <c r="A3" s="17" t="s">
        <v>12</v>
      </c>
      <c r="B3" s="18">
        <f>'Attendance Tracker'!B6</f>
      </c>
      <c r="C3" s="3"/>
      <c r="D3" s="3"/>
      <c r="E3" s="3"/>
      <c r="F3" s="16"/>
    </row>
    <row x14ac:dyDescent="0.25" r="4" customHeight="1" ht="18.75">
      <c r="A4" s="17" t="s">
        <v>13</v>
      </c>
      <c r="B4" s="18">
        <f>'Attendance Tracker'!B3</f>
      </c>
      <c r="C4" s="3"/>
      <c r="D4" s="3"/>
      <c r="E4" s="3"/>
      <c r="F4" s="16"/>
    </row>
    <row x14ac:dyDescent="0.25" r="5" customHeight="1" ht="18.75">
      <c r="A5" s="17" t="s">
        <v>14</v>
      </c>
      <c r="B5" s="19">
        <f>'Attendance Tracker'!B8</f>
      </c>
      <c r="C5" s="3"/>
      <c r="D5" s="3"/>
      <c r="E5" s="3"/>
      <c r="F5" s="16"/>
    </row>
    <row x14ac:dyDescent="0.25" r="6" customHeight="1" ht="18.75">
      <c r="A6" s="2"/>
      <c r="B6" s="3"/>
      <c r="C6" s="3"/>
      <c r="D6" s="3"/>
      <c r="E6" s="3"/>
      <c r="F6" s="16"/>
    </row>
    <row x14ac:dyDescent="0.25" r="7" customHeight="1" ht="18.75">
      <c r="A7" s="2"/>
      <c r="B7" s="3"/>
      <c r="C7" s="3"/>
      <c r="D7" s="3"/>
      <c r="E7" s="3"/>
      <c r="F7" s="16"/>
    </row>
    <row x14ac:dyDescent="0.25" r="8" customHeight="1" ht="18.75">
      <c r="A8" s="6" t="s">
        <v>15</v>
      </c>
      <c r="B8" s="7" t="s">
        <v>16</v>
      </c>
      <c r="C8" s="7" t="s">
        <v>6</v>
      </c>
      <c r="D8" s="7" t="s">
        <v>7</v>
      </c>
      <c r="E8" s="7" t="s">
        <v>17</v>
      </c>
      <c r="F8" s="20" t="s">
        <v>18</v>
      </c>
    </row>
    <row x14ac:dyDescent="0.25" r="9" customHeight="1" ht="18.75">
      <c r="A9" s="21" t="s">
        <v>19</v>
      </c>
      <c r="B9" s="10">
        <f>COUNT('Attendance Tracker'!D11:D40)</f>
      </c>
      <c r="C9" s="10">
        <f>COUNTIF('Attendance Tracker'!D11:D40,"P")</f>
      </c>
      <c r="D9" s="10">
        <f>COUNTIF('Attendance Tracker'!D11:D40,"A")</f>
      </c>
      <c r="E9" s="10">
        <f>COUNTIF('Attendance Tracker'!D11:D40,"L")</f>
      </c>
      <c r="F9" s="22">
        <f>IF(B9=0,0,C9/B9)</f>
      </c>
    </row>
    <row x14ac:dyDescent="0.25" r="10" customHeight="1" ht="18.75">
      <c r="A10" s="21" t="s">
        <v>20</v>
      </c>
      <c r="B10" s="10">
        <f>COUNT('Attendance Tracker'!D41:D70)</f>
      </c>
      <c r="C10" s="10">
        <f>COUNTIF('Attendance Tracker'!D41:D70,"P")</f>
      </c>
      <c r="D10" s="10">
        <f>COUNTIF('Attendance Tracker'!D41:D70,"A")</f>
      </c>
      <c r="E10" s="10">
        <f>COUNTIF('Attendance Tracker'!D41:D70,"L")</f>
      </c>
      <c r="F10" s="22">
        <f>IF(B10=0,0,C10/B10)</f>
      </c>
    </row>
    <row x14ac:dyDescent="0.25" r="11" customHeight="1" ht="18.75">
      <c r="A11" s="21" t="s">
        <v>21</v>
      </c>
      <c r="B11" s="10">
        <f>COUNT('Attendance Tracker'!D71:D100)</f>
      </c>
      <c r="C11" s="10">
        <f>COUNTIF('Attendance Tracker'!D71:D100,"P")</f>
      </c>
      <c r="D11" s="10">
        <f>COUNTIF('Attendance Tracker'!D71:D100,"A")</f>
      </c>
      <c r="E11" s="10">
        <f>COUNTIF('Attendance Tracker'!D71:D100,"L")</f>
      </c>
      <c r="F11" s="22">
        <f>IF(B11=0,0,C11/B11)</f>
      </c>
    </row>
    <row x14ac:dyDescent="0.25" r="12" customHeight="1" ht="18.75">
      <c r="A12" s="21" t="s">
        <v>22</v>
      </c>
      <c r="B12" s="10">
        <f>COUNT('Attendance Tracker'!D101:D130)</f>
      </c>
      <c r="C12" s="10">
        <f>COUNTIF('Attendance Tracker'!D101:D130,"P")</f>
      </c>
      <c r="D12" s="10">
        <f>COUNTIF('Attendance Tracker'!D101:D130,"A")</f>
      </c>
      <c r="E12" s="10">
        <f>COUNTIF('Attendance Tracker'!D101:D130,"L")</f>
      </c>
      <c r="F12" s="22">
        <f>IF(B12=0,0,C12/B12)</f>
      </c>
    </row>
    <row x14ac:dyDescent="0.25" r="13" customHeight="1" ht="18.75">
      <c r="A13" s="23" t="s">
        <v>23</v>
      </c>
      <c r="B13" s="24">
        <f>SUM(B9:B12)</f>
      </c>
      <c r="C13" s="24">
        <f>SUM(C9:C12)</f>
      </c>
      <c r="D13" s="24">
        <f>SUM(D9:D12)</f>
      </c>
      <c r="E13" s="24">
        <f>SUM(E9:E12)</f>
      </c>
      <c r="F13" s="25">
        <f>IF(B13=0,0,C13/B13)</f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1" width="15.005" customWidth="1" bestFit="1"/>
    <col min="2" max="2" style="12" width="10.005" customWidth="1" bestFit="1"/>
    <col min="3" max="3" style="13" width="28.005" customWidth="1" bestFit="1"/>
    <col min="4" max="4" style="13" width="14.005" customWidth="1" bestFit="1"/>
    <col min="5" max="5" style="13" width="28.005" customWidth="1" bestFit="1"/>
    <col min="6" max="6" style="13" width="10.005" customWidth="1" bestFit="1"/>
    <col min="7" max="7" style="13" width="10.005" customWidth="1" bestFit="1"/>
  </cols>
  <sheetData>
    <row x14ac:dyDescent="0.25" r="1" customHeight="1" ht="18.75">
      <c r="A1" s="1" t="s">
        <v>10</v>
      </c>
      <c r="B1" s="2"/>
      <c r="C1" s="3"/>
      <c r="D1" s="3"/>
      <c r="E1" s="3"/>
      <c r="F1" s="3"/>
      <c r="G1" s="3"/>
    </row>
    <row x14ac:dyDescent="0.25" r="2" customHeight="1" ht="18.75">
      <c r="A2" s="4"/>
      <c r="B2" s="2"/>
      <c r="C2" s="3"/>
      <c r="D2" s="3"/>
      <c r="E2" s="3"/>
      <c r="F2" s="3"/>
      <c r="G2" s="3"/>
    </row>
    <row x14ac:dyDescent="0.25" r="3" customHeight="1" ht="18.75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x14ac:dyDescent="0.25" r="4" customHeight="1" ht="18.75">
      <c r="A4" s="8">
        <f>'Attendance Tracker'!A11</f>
        <v>25569.229166666668</v>
      </c>
      <c r="B4" s="9">
        <f>'Attendance Tracker'!B11</f>
      </c>
      <c r="C4" s="10">
        <f>'Attendance Tracker'!C11</f>
      </c>
      <c r="D4" s="10">
        <f>'Attendance Tracker'!D11</f>
      </c>
      <c r="E4" s="14">
        <f>'Attendance Tracker'!F11</f>
      </c>
      <c r="F4" s="10">
        <f>'Attendance Tracker'!G11</f>
      </c>
      <c r="G4" s="10">
        <f>'Attendance Tracker'!H11</f>
      </c>
    </row>
    <row x14ac:dyDescent="0.25" r="5" customHeight="1" ht="18.75">
      <c r="A5" s="8">
        <f>'Attendance Tracker'!A12</f>
        <v>25569.229166666668</v>
      </c>
      <c r="B5" s="9">
        <f>'Attendance Tracker'!B12</f>
      </c>
      <c r="C5" s="10">
        <f>'Attendance Tracker'!C12</f>
      </c>
      <c r="D5" s="10">
        <f>'Attendance Tracker'!D12</f>
      </c>
      <c r="E5" s="14">
        <f>'Attendance Tracker'!F12</f>
      </c>
      <c r="F5" s="10">
        <f>'Attendance Tracker'!G12</f>
      </c>
      <c r="G5" s="10">
        <f>'Attendance Tracker'!H12</f>
      </c>
    </row>
    <row x14ac:dyDescent="0.25" r="6" customHeight="1" ht="18.75">
      <c r="A6" s="8">
        <f>'Attendance Tracker'!A13</f>
        <v>25569.229166666668</v>
      </c>
      <c r="B6" s="9">
        <f>'Attendance Tracker'!B13</f>
      </c>
      <c r="C6" s="10">
        <f>'Attendance Tracker'!C13</f>
      </c>
      <c r="D6" s="10">
        <f>'Attendance Tracker'!D13</f>
      </c>
      <c r="E6" s="10">
        <f>'Attendance Tracker'!F13</f>
      </c>
      <c r="F6" s="10">
        <f>'Attendance Tracker'!G13</f>
      </c>
      <c r="G6" s="10">
        <f>'Attendance Tracker'!H13</f>
      </c>
    </row>
    <row x14ac:dyDescent="0.25" r="7" customHeight="1" ht="18.75">
      <c r="A7" s="8">
        <f>'Attendance Tracker'!A14</f>
        <v>25569.229166666668</v>
      </c>
      <c r="B7" s="9">
        <f>'Attendance Tracker'!B14</f>
      </c>
      <c r="C7" s="10">
        <f>'Attendance Tracker'!C14</f>
      </c>
      <c r="D7" s="10">
        <f>'Attendance Tracker'!D14</f>
      </c>
      <c r="E7" s="10">
        <f>'Attendance Tracker'!F14</f>
      </c>
      <c r="F7" s="10">
        <f>'Attendance Tracker'!G14</f>
      </c>
      <c r="G7" s="10">
        <f>'Attendance Tracker'!H14</f>
      </c>
    </row>
    <row x14ac:dyDescent="0.25" r="8" customHeight="1" ht="18.75">
      <c r="A8" s="8">
        <f>'Attendance Tracker'!A15</f>
        <v>25569.229166666668</v>
      </c>
      <c r="B8" s="9">
        <f>'Attendance Tracker'!B15</f>
      </c>
      <c r="C8" s="10">
        <f>'Attendance Tracker'!C15</f>
      </c>
      <c r="D8" s="10">
        <f>'Attendance Tracker'!D15</f>
      </c>
      <c r="E8" s="10">
        <f>'Attendance Tracker'!F15</f>
      </c>
      <c r="F8" s="10">
        <f>'Attendance Tracker'!G15</f>
      </c>
      <c r="G8" s="10">
        <f>'Attendance Tracker'!H15</f>
      </c>
    </row>
    <row x14ac:dyDescent="0.25" r="9" customHeight="1" ht="18.75">
      <c r="A9" s="8">
        <f>'Attendance Tracker'!A16</f>
        <v>25569.229166666668</v>
      </c>
      <c r="B9" s="9">
        <f>'Attendance Tracker'!B16</f>
      </c>
      <c r="C9" s="10">
        <f>'Attendance Tracker'!C16</f>
      </c>
      <c r="D9" s="10">
        <f>'Attendance Tracker'!D16</f>
      </c>
      <c r="E9" s="10">
        <f>'Attendance Tracker'!F16</f>
      </c>
      <c r="F9" s="10">
        <f>'Attendance Tracker'!G16</f>
      </c>
      <c r="G9" s="10">
        <f>'Attendance Tracker'!H16</f>
      </c>
    </row>
    <row x14ac:dyDescent="0.25" r="10" customHeight="1" ht="18.75">
      <c r="A10" s="8">
        <f>'Attendance Tracker'!A17</f>
        <v>25569.229166666668</v>
      </c>
      <c r="B10" s="9">
        <f>'Attendance Tracker'!B17</f>
      </c>
      <c r="C10" s="10">
        <f>'Attendance Tracker'!C17</f>
      </c>
      <c r="D10" s="10">
        <f>'Attendance Tracker'!D17</f>
      </c>
      <c r="E10" s="10">
        <f>'Attendance Tracker'!F17</f>
      </c>
      <c r="F10" s="10">
        <f>'Attendance Tracker'!G17</f>
      </c>
      <c r="G10" s="10">
        <f>'Attendance Tracker'!H17</f>
      </c>
    </row>
    <row x14ac:dyDescent="0.25" r="11" customHeight="1" ht="18.75">
      <c r="A11" s="8">
        <f>'Attendance Tracker'!A18</f>
        <v>25569.229166666668</v>
      </c>
      <c r="B11" s="9">
        <f>'Attendance Tracker'!B18</f>
      </c>
      <c r="C11" s="10">
        <f>'Attendance Tracker'!C18</f>
      </c>
      <c r="D11" s="10">
        <f>'Attendance Tracker'!D18</f>
      </c>
      <c r="E11" s="10">
        <f>'Attendance Tracker'!F18</f>
      </c>
      <c r="F11" s="10">
        <f>'Attendance Tracker'!G18</f>
      </c>
      <c r="G11" s="10">
        <f>'Attendance Tracker'!H18</f>
      </c>
    </row>
    <row x14ac:dyDescent="0.25" r="12" customHeight="1" ht="18.75">
      <c r="A12" s="8">
        <f>'Attendance Tracker'!A19</f>
        <v>25569.229166666668</v>
      </c>
      <c r="B12" s="9">
        <f>'Attendance Tracker'!B19</f>
      </c>
      <c r="C12" s="10">
        <f>'Attendance Tracker'!C19</f>
      </c>
      <c r="D12" s="10">
        <f>'Attendance Tracker'!D19</f>
      </c>
      <c r="E12" s="10">
        <f>'Attendance Tracker'!F19</f>
      </c>
      <c r="F12" s="10">
        <f>'Attendance Tracker'!G19</f>
      </c>
      <c r="G12" s="10">
        <f>'Attendance Tracker'!H19</f>
      </c>
    </row>
    <row x14ac:dyDescent="0.25" r="13" customHeight="1" ht="18.75">
      <c r="A13" s="8">
        <f>'Attendance Tracker'!A20</f>
        <v>25569.229166666668</v>
      </c>
      <c r="B13" s="9">
        <f>'Attendance Tracker'!B20</f>
      </c>
      <c r="C13" s="10">
        <f>'Attendance Tracker'!C20</f>
      </c>
      <c r="D13" s="10">
        <f>'Attendance Tracker'!D20</f>
      </c>
      <c r="E13" s="10">
        <f>'Attendance Tracker'!F20</f>
      </c>
      <c r="F13" s="10">
        <f>'Attendance Tracker'!G20</f>
      </c>
      <c r="G13" s="10">
        <f>'Attendance Tracker'!H20</f>
      </c>
    </row>
    <row x14ac:dyDescent="0.25" r="14" customHeight="1" ht="18.75">
      <c r="A14" s="8">
        <f>'Attendance Tracker'!A21</f>
        <v>25569.229166666668</v>
      </c>
      <c r="B14" s="9">
        <f>'Attendance Tracker'!B21</f>
      </c>
      <c r="C14" s="10">
        <f>'Attendance Tracker'!C21</f>
      </c>
      <c r="D14" s="10">
        <f>'Attendance Tracker'!D21</f>
      </c>
      <c r="E14" s="10">
        <f>'Attendance Tracker'!F21</f>
      </c>
      <c r="F14" s="10">
        <f>'Attendance Tracker'!G21</f>
      </c>
      <c r="G14" s="10">
        <f>'Attendance Tracker'!H21</f>
      </c>
    </row>
    <row x14ac:dyDescent="0.25" r="15" customHeight="1" ht="18.75">
      <c r="A15" s="8">
        <f>'Attendance Tracker'!A22</f>
        <v>25569.229166666668</v>
      </c>
      <c r="B15" s="9">
        <f>'Attendance Tracker'!B22</f>
      </c>
      <c r="C15" s="10">
        <f>'Attendance Tracker'!C22</f>
      </c>
      <c r="D15" s="10">
        <f>'Attendance Tracker'!D22</f>
      </c>
      <c r="E15" s="10">
        <f>'Attendance Tracker'!F22</f>
      </c>
      <c r="F15" s="10">
        <f>'Attendance Tracker'!G22</f>
      </c>
      <c r="G15" s="10">
        <f>'Attendance Tracker'!H22</f>
      </c>
    </row>
    <row x14ac:dyDescent="0.25" r="16" customHeight="1" ht="18.75">
      <c r="A16" s="8">
        <f>'Attendance Tracker'!A23</f>
        <v>25569.229166666668</v>
      </c>
      <c r="B16" s="9">
        <f>'Attendance Tracker'!B23</f>
      </c>
      <c r="C16" s="10">
        <f>'Attendance Tracker'!C23</f>
      </c>
      <c r="D16" s="10">
        <f>'Attendance Tracker'!D23</f>
      </c>
      <c r="E16" s="10">
        <f>'Attendance Tracker'!F23</f>
      </c>
      <c r="F16" s="10">
        <f>'Attendance Tracker'!G23</f>
      </c>
      <c r="G16" s="10">
        <f>'Attendance Tracker'!H23</f>
      </c>
    </row>
    <row x14ac:dyDescent="0.25" r="17" customHeight="1" ht="18.75">
      <c r="A17" s="8">
        <f>'Attendance Tracker'!A24</f>
        <v>25569.229166666668</v>
      </c>
      <c r="B17" s="9">
        <f>'Attendance Tracker'!B24</f>
      </c>
      <c r="C17" s="10">
        <f>'Attendance Tracker'!C24</f>
      </c>
      <c r="D17" s="10">
        <f>'Attendance Tracker'!D24</f>
      </c>
      <c r="E17" s="10">
        <f>'Attendance Tracker'!F24</f>
      </c>
      <c r="F17" s="10">
        <f>'Attendance Tracker'!G24</f>
      </c>
      <c r="G17" s="10">
        <f>'Attendance Tracker'!H24</f>
      </c>
    </row>
    <row x14ac:dyDescent="0.25" r="18" customHeight="1" ht="18.75">
      <c r="A18" s="8">
        <f>'Attendance Tracker'!A25</f>
        <v>25569.229166666668</v>
      </c>
      <c r="B18" s="9">
        <f>'Attendance Tracker'!B25</f>
      </c>
      <c r="C18" s="10">
        <f>'Attendance Tracker'!C25</f>
      </c>
      <c r="D18" s="10">
        <f>'Attendance Tracker'!D25</f>
      </c>
      <c r="E18" s="10">
        <f>'Attendance Tracker'!F25</f>
      </c>
      <c r="F18" s="10">
        <f>'Attendance Tracker'!G25</f>
      </c>
      <c r="G18" s="10">
        <f>'Attendance Tracker'!H25</f>
      </c>
    </row>
    <row x14ac:dyDescent="0.25" r="19" customHeight="1" ht="18.75">
      <c r="A19" s="8">
        <f>'Attendance Tracker'!A26</f>
        <v>25569.229166666668</v>
      </c>
      <c r="B19" s="9">
        <f>'Attendance Tracker'!B26</f>
      </c>
      <c r="C19" s="10">
        <f>'Attendance Tracker'!C26</f>
      </c>
      <c r="D19" s="10">
        <f>'Attendance Tracker'!D26</f>
      </c>
      <c r="E19" s="10">
        <f>'Attendance Tracker'!F26</f>
      </c>
      <c r="F19" s="10">
        <f>'Attendance Tracker'!G26</f>
      </c>
      <c r="G19" s="10">
        <f>'Attendance Tracker'!H26</f>
      </c>
    </row>
    <row x14ac:dyDescent="0.25" r="20" customHeight="1" ht="18.75">
      <c r="A20" s="8">
        <f>'Attendance Tracker'!A27</f>
        <v>25569.229166666668</v>
      </c>
      <c r="B20" s="9">
        <f>'Attendance Tracker'!B27</f>
      </c>
      <c r="C20" s="10">
        <f>'Attendance Tracker'!C27</f>
      </c>
      <c r="D20" s="10">
        <f>'Attendance Tracker'!D27</f>
      </c>
      <c r="E20" s="10">
        <f>'Attendance Tracker'!F27</f>
      </c>
      <c r="F20" s="10">
        <f>'Attendance Tracker'!G27</f>
      </c>
      <c r="G20" s="10">
        <f>'Attendance Tracker'!H27</f>
      </c>
    </row>
    <row x14ac:dyDescent="0.25" r="21" customHeight="1" ht="18.75">
      <c r="A21" s="8">
        <f>'Attendance Tracker'!A28</f>
        <v>25569.229166666668</v>
      </c>
      <c r="B21" s="9">
        <f>'Attendance Tracker'!B28</f>
      </c>
      <c r="C21" s="10">
        <f>'Attendance Tracker'!C28</f>
      </c>
      <c r="D21" s="10">
        <f>'Attendance Tracker'!D28</f>
      </c>
      <c r="E21" s="10">
        <f>'Attendance Tracker'!F28</f>
      </c>
      <c r="F21" s="10">
        <f>'Attendance Tracker'!G28</f>
      </c>
      <c r="G21" s="10">
        <f>'Attendance Tracker'!H28</f>
      </c>
    </row>
    <row x14ac:dyDescent="0.25" r="22" customHeight="1" ht="18.75">
      <c r="A22" s="8">
        <f>'Attendance Tracker'!A29</f>
        <v>25569.229166666668</v>
      </c>
      <c r="B22" s="9">
        <f>'Attendance Tracker'!B29</f>
      </c>
      <c r="C22" s="10">
        <f>'Attendance Tracker'!C29</f>
      </c>
      <c r="D22" s="10">
        <f>'Attendance Tracker'!D29</f>
      </c>
      <c r="E22" s="10">
        <f>'Attendance Tracker'!F29</f>
      </c>
      <c r="F22" s="10">
        <f>'Attendance Tracker'!G29</f>
      </c>
      <c r="G22" s="10">
        <f>'Attendance Tracker'!H29</f>
      </c>
    </row>
    <row x14ac:dyDescent="0.25" r="23" customHeight="1" ht="18.75">
      <c r="A23" s="8">
        <f>'Attendance Tracker'!A30</f>
        <v>25569.229166666668</v>
      </c>
      <c r="B23" s="9">
        <f>'Attendance Tracker'!B30</f>
      </c>
      <c r="C23" s="10">
        <f>'Attendance Tracker'!C30</f>
      </c>
      <c r="D23" s="10">
        <f>'Attendance Tracker'!D30</f>
      </c>
      <c r="E23" s="10">
        <f>'Attendance Tracker'!F30</f>
      </c>
      <c r="F23" s="10">
        <f>'Attendance Tracker'!G30</f>
      </c>
      <c r="G23" s="10">
        <f>'Attendance Tracker'!H30</f>
      </c>
    </row>
    <row x14ac:dyDescent="0.25" r="24" customHeight="1" ht="18.75">
      <c r="A24" s="8">
        <f>'Attendance Tracker'!A31</f>
        <v>25569.229166666668</v>
      </c>
      <c r="B24" s="9">
        <f>'Attendance Tracker'!B31</f>
      </c>
      <c r="C24" s="10">
        <f>'Attendance Tracker'!C31</f>
      </c>
      <c r="D24" s="10">
        <f>'Attendance Tracker'!D31</f>
      </c>
      <c r="E24" s="10">
        <f>'Attendance Tracker'!F31</f>
      </c>
      <c r="F24" s="10">
        <f>'Attendance Tracker'!G31</f>
      </c>
      <c r="G24" s="10">
        <f>'Attendance Tracker'!H31</f>
      </c>
    </row>
    <row x14ac:dyDescent="0.25" r="25" customHeight="1" ht="18.75">
      <c r="A25" s="8">
        <f>'Attendance Tracker'!A32</f>
        <v>25569.229166666668</v>
      </c>
      <c r="B25" s="9">
        <f>'Attendance Tracker'!B32</f>
      </c>
      <c r="C25" s="10">
        <f>'Attendance Tracker'!C32</f>
      </c>
      <c r="D25" s="10">
        <f>'Attendance Tracker'!D32</f>
      </c>
      <c r="E25" s="10">
        <f>'Attendance Tracker'!F32</f>
      </c>
      <c r="F25" s="10">
        <f>'Attendance Tracker'!G32</f>
      </c>
      <c r="G25" s="10">
        <f>'Attendance Tracker'!H32</f>
      </c>
    </row>
    <row x14ac:dyDescent="0.25" r="26" customHeight="1" ht="18.75">
      <c r="A26" s="8">
        <f>'Attendance Tracker'!A33</f>
        <v>25569.229166666668</v>
      </c>
      <c r="B26" s="9">
        <f>'Attendance Tracker'!B33</f>
      </c>
      <c r="C26" s="10">
        <f>'Attendance Tracker'!C33</f>
      </c>
      <c r="D26" s="10">
        <f>'Attendance Tracker'!D33</f>
      </c>
      <c r="E26" s="10">
        <f>'Attendance Tracker'!F33</f>
      </c>
      <c r="F26" s="10">
        <f>'Attendance Tracker'!G33</f>
      </c>
      <c r="G26" s="10">
        <f>'Attendance Tracker'!H33</f>
      </c>
    </row>
    <row x14ac:dyDescent="0.25" r="27" customHeight="1" ht="18.75">
      <c r="A27" s="8">
        <f>'Attendance Tracker'!A34</f>
        <v>25569.229166666668</v>
      </c>
      <c r="B27" s="9">
        <f>'Attendance Tracker'!B34</f>
      </c>
      <c r="C27" s="10">
        <f>'Attendance Tracker'!C34</f>
      </c>
      <c r="D27" s="10">
        <f>'Attendance Tracker'!D34</f>
      </c>
      <c r="E27" s="10">
        <f>'Attendance Tracker'!F34</f>
      </c>
      <c r="F27" s="10">
        <f>'Attendance Tracker'!G34</f>
      </c>
      <c r="G27" s="10">
        <f>'Attendance Tracker'!H34</f>
      </c>
    </row>
    <row x14ac:dyDescent="0.25" r="28" customHeight="1" ht="18.75">
      <c r="A28" s="8">
        <f>'Attendance Tracker'!A35</f>
        <v>25569.229166666668</v>
      </c>
      <c r="B28" s="9">
        <f>'Attendance Tracker'!B35</f>
      </c>
      <c r="C28" s="10">
        <f>'Attendance Tracker'!C35</f>
      </c>
      <c r="D28" s="10">
        <f>'Attendance Tracker'!D35</f>
      </c>
      <c r="E28" s="10">
        <f>'Attendance Tracker'!F35</f>
      </c>
      <c r="F28" s="10">
        <f>'Attendance Tracker'!G35</f>
      </c>
      <c r="G28" s="10">
        <f>'Attendance Tracker'!H35</f>
      </c>
    </row>
    <row x14ac:dyDescent="0.25" r="29" customHeight="1" ht="18.75">
      <c r="A29" s="8">
        <f>'Attendance Tracker'!A36</f>
        <v>25569.229166666668</v>
      </c>
      <c r="B29" s="9">
        <f>'Attendance Tracker'!B36</f>
      </c>
      <c r="C29" s="10">
        <f>'Attendance Tracker'!C36</f>
      </c>
      <c r="D29" s="10">
        <f>'Attendance Tracker'!D36</f>
      </c>
      <c r="E29" s="10">
        <f>'Attendance Tracker'!F36</f>
      </c>
      <c r="F29" s="10">
        <f>'Attendance Tracker'!G36</f>
      </c>
      <c r="G29" s="10">
        <f>'Attendance Tracker'!H36</f>
      </c>
    </row>
    <row x14ac:dyDescent="0.25" r="30" customHeight="1" ht="18.75">
      <c r="A30" s="8">
        <f>'Attendance Tracker'!A37</f>
        <v>25569.229166666668</v>
      </c>
      <c r="B30" s="9">
        <f>'Attendance Tracker'!B37</f>
      </c>
      <c r="C30" s="10">
        <f>'Attendance Tracker'!C37</f>
      </c>
      <c r="D30" s="10">
        <f>'Attendance Tracker'!D37</f>
      </c>
      <c r="E30" s="10">
        <f>'Attendance Tracker'!F37</f>
      </c>
      <c r="F30" s="10">
        <f>'Attendance Tracker'!G37</f>
      </c>
      <c r="G30" s="10">
        <f>'Attendance Tracker'!H37</f>
      </c>
    </row>
    <row x14ac:dyDescent="0.25" r="31" customHeight="1" ht="18.75">
      <c r="A31" s="8">
        <f>'Attendance Tracker'!A38</f>
        <v>25569.229166666668</v>
      </c>
      <c r="B31" s="9">
        <f>'Attendance Tracker'!B38</f>
      </c>
      <c r="C31" s="10">
        <f>'Attendance Tracker'!C38</f>
      </c>
      <c r="D31" s="10">
        <f>'Attendance Tracker'!D38</f>
      </c>
      <c r="E31" s="10">
        <f>'Attendance Tracker'!F38</f>
      </c>
      <c r="F31" s="10">
        <f>'Attendance Tracker'!G38</f>
      </c>
      <c r="G31" s="10">
        <f>'Attendance Tracker'!H38</f>
      </c>
    </row>
    <row x14ac:dyDescent="0.25" r="32" customHeight="1" ht="18.75">
      <c r="A32" s="8">
        <f>'Attendance Tracker'!A39</f>
        <v>25569.229166666668</v>
      </c>
      <c r="B32" s="9">
        <f>'Attendance Tracker'!B39</f>
      </c>
      <c r="C32" s="10">
        <f>'Attendance Tracker'!C39</f>
      </c>
      <c r="D32" s="10">
        <f>'Attendance Tracker'!D39</f>
      </c>
      <c r="E32" s="10">
        <f>'Attendance Tracker'!F39</f>
      </c>
      <c r="F32" s="10">
        <f>'Attendance Tracker'!G39</f>
      </c>
      <c r="G32" s="10">
        <f>'Attendance Tracker'!H39</f>
      </c>
    </row>
    <row x14ac:dyDescent="0.25" r="33" customHeight="1" ht="18.75">
      <c r="A33" s="8">
        <f>'Attendance Tracker'!A40</f>
        <v>25569.229166666668</v>
      </c>
      <c r="B33" s="9">
        <f>'Attendance Tracker'!B40</f>
      </c>
      <c r="C33" s="10">
        <f>'Attendance Tracker'!C40</f>
      </c>
      <c r="D33" s="10">
        <f>'Attendance Tracker'!D40</f>
      </c>
      <c r="E33" s="10">
        <f>'Attendance Tracker'!F40</f>
      </c>
      <c r="F33" s="10">
        <f>'Attendance Tracker'!G40</f>
      </c>
      <c r="G33" s="10">
        <f>'Attendance Tracker'!H40</f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1" width="15.005" customWidth="1" bestFit="1"/>
    <col min="2" max="2" style="12" width="10.005" customWidth="1" bestFit="1"/>
    <col min="3" max="3" style="13" width="28.005" customWidth="1" bestFit="1"/>
    <col min="4" max="4" style="13" width="14.005" customWidth="1" bestFit="1"/>
    <col min="5" max="5" style="13" width="28.005" customWidth="1" bestFit="1"/>
    <col min="6" max="6" style="13" width="10.005" customWidth="1" bestFit="1"/>
    <col min="7" max="7" style="13" width="10.005" customWidth="1" bestFit="1"/>
  </cols>
  <sheetData>
    <row x14ac:dyDescent="0.25" r="1" customHeight="1" ht="18.75">
      <c r="A1" s="1" t="s">
        <v>9</v>
      </c>
      <c r="B1" s="2"/>
      <c r="C1" s="3"/>
      <c r="D1" s="3"/>
      <c r="E1" s="3"/>
      <c r="F1" s="3"/>
      <c r="G1" s="3"/>
    </row>
    <row x14ac:dyDescent="0.25" r="2" customHeight="1" ht="18.75">
      <c r="A2" s="4"/>
      <c r="B2" s="2"/>
      <c r="C2" s="3"/>
      <c r="D2" s="3"/>
      <c r="E2" s="3"/>
      <c r="F2" s="3"/>
      <c r="G2" s="3"/>
    </row>
    <row x14ac:dyDescent="0.25" r="3" customHeight="1" ht="18.75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x14ac:dyDescent="0.25" r="4" customHeight="1" ht="18.75">
      <c r="A4" s="8">
        <f>'Attendance Tracker'!A41</f>
        <v>25569.229166666668</v>
      </c>
      <c r="B4" s="9">
        <f>'Attendance Tracker'!B41</f>
      </c>
      <c r="C4" s="10">
        <f>'Attendance Tracker'!C41</f>
      </c>
      <c r="D4" s="10">
        <f>'Attendance Tracker'!D41</f>
      </c>
      <c r="E4" s="10">
        <f>'Attendance Tracker'!F41</f>
      </c>
      <c r="F4" s="10">
        <f>'Attendance Tracker'!G41</f>
      </c>
      <c r="G4" s="10">
        <f>'Attendance Tracker'!H41</f>
      </c>
    </row>
    <row x14ac:dyDescent="0.25" r="5" customHeight="1" ht="18.75">
      <c r="A5" s="8">
        <f>'Attendance Tracker'!A42</f>
        <v>25569.229166666668</v>
      </c>
      <c r="B5" s="9">
        <f>'Attendance Tracker'!B42</f>
      </c>
      <c r="C5" s="10">
        <f>'Attendance Tracker'!C42</f>
      </c>
      <c r="D5" s="10">
        <f>'Attendance Tracker'!D42</f>
      </c>
      <c r="E5" s="10">
        <f>'Attendance Tracker'!F42</f>
      </c>
      <c r="F5" s="10">
        <f>'Attendance Tracker'!G42</f>
      </c>
      <c r="G5" s="10">
        <f>'Attendance Tracker'!H42</f>
      </c>
    </row>
    <row x14ac:dyDescent="0.25" r="6" customHeight="1" ht="18.75">
      <c r="A6" s="8">
        <f>'Attendance Tracker'!A43</f>
        <v>25569.229166666668</v>
      </c>
      <c r="B6" s="9">
        <f>'Attendance Tracker'!B43</f>
      </c>
      <c r="C6" s="10">
        <f>'Attendance Tracker'!C43</f>
      </c>
      <c r="D6" s="10">
        <f>'Attendance Tracker'!D43</f>
      </c>
      <c r="E6" s="10">
        <f>'Attendance Tracker'!F43</f>
      </c>
      <c r="F6" s="10">
        <f>'Attendance Tracker'!G43</f>
      </c>
      <c r="G6" s="10">
        <f>'Attendance Tracker'!H43</f>
      </c>
    </row>
    <row x14ac:dyDescent="0.25" r="7" customHeight="1" ht="18.75">
      <c r="A7" s="8">
        <f>'Attendance Tracker'!A44</f>
        <v>25569.229166666668</v>
      </c>
      <c r="B7" s="9">
        <f>'Attendance Tracker'!B44</f>
      </c>
      <c r="C7" s="10">
        <f>'Attendance Tracker'!C44</f>
      </c>
      <c r="D7" s="10">
        <f>'Attendance Tracker'!D44</f>
      </c>
      <c r="E7" s="10">
        <f>'Attendance Tracker'!F44</f>
      </c>
      <c r="F7" s="10">
        <f>'Attendance Tracker'!G44</f>
      </c>
      <c r="G7" s="10">
        <f>'Attendance Tracker'!H44</f>
      </c>
    </row>
    <row x14ac:dyDescent="0.25" r="8" customHeight="1" ht="18.75">
      <c r="A8" s="8">
        <f>'Attendance Tracker'!A45</f>
        <v>25569.229166666668</v>
      </c>
      <c r="B8" s="9">
        <f>'Attendance Tracker'!B45</f>
      </c>
      <c r="C8" s="10">
        <f>'Attendance Tracker'!C45</f>
      </c>
      <c r="D8" s="10">
        <f>'Attendance Tracker'!D45</f>
      </c>
      <c r="E8" s="10">
        <f>'Attendance Tracker'!F45</f>
      </c>
      <c r="F8" s="10">
        <f>'Attendance Tracker'!G45</f>
      </c>
      <c r="G8" s="10">
        <f>'Attendance Tracker'!H45</f>
      </c>
    </row>
    <row x14ac:dyDescent="0.25" r="9" customHeight="1" ht="18.75">
      <c r="A9" s="8">
        <f>'Attendance Tracker'!A46</f>
        <v>25569.229166666668</v>
      </c>
      <c r="B9" s="9">
        <f>'Attendance Tracker'!B46</f>
      </c>
      <c r="C9" s="10">
        <f>'Attendance Tracker'!C46</f>
      </c>
      <c r="D9" s="10">
        <f>'Attendance Tracker'!D46</f>
      </c>
      <c r="E9" s="10">
        <f>'Attendance Tracker'!F46</f>
      </c>
      <c r="F9" s="10">
        <f>'Attendance Tracker'!G46</f>
      </c>
      <c r="G9" s="10">
        <f>'Attendance Tracker'!H46</f>
      </c>
    </row>
    <row x14ac:dyDescent="0.25" r="10" customHeight="1" ht="18.75">
      <c r="A10" s="8">
        <f>'Attendance Tracker'!A47</f>
        <v>25569.229166666668</v>
      </c>
      <c r="B10" s="9">
        <f>'Attendance Tracker'!B47</f>
      </c>
      <c r="C10" s="10">
        <f>'Attendance Tracker'!C47</f>
      </c>
      <c r="D10" s="10">
        <f>'Attendance Tracker'!D47</f>
      </c>
      <c r="E10" s="10">
        <f>'Attendance Tracker'!F47</f>
      </c>
      <c r="F10" s="10">
        <f>'Attendance Tracker'!G47</f>
      </c>
      <c r="G10" s="10">
        <f>'Attendance Tracker'!H47</f>
      </c>
    </row>
    <row x14ac:dyDescent="0.25" r="11" customHeight="1" ht="18.75">
      <c r="A11" s="8">
        <f>'Attendance Tracker'!A48</f>
        <v>25569.229166666668</v>
      </c>
      <c r="B11" s="9">
        <f>'Attendance Tracker'!B48</f>
      </c>
      <c r="C11" s="10">
        <f>'Attendance Tracker'!C48</f>
      </c>
      <c r="D11" s="10">
        <f>'Attendance Tracker'!D48</f>
      </c>
      <c r="E11" s="10">
        <f>'Attendance Tracker'!F48</f>
      </c>
      <c r="F11" s="10">
        <f>'Attendance Tracker'!G48</f>
      </c>
      <c r="G11" s="10">
        <f>'Attendance Tracker'!H48</f>
      </c>
    </row>
    <row x14ac:dyDescent="0.25" r="12" customHeight="1" ht="18.75">
      <c r="A12" s="8">
        <f>'Attendance Tracker'!A49</f>
        <v>25569.229166666668</v>
      </c>
      <c r="B12" s="9">
        <f>'Attendance Tracker'!B49</f>
      </c>
      <c r="C12" s="10">
        <f>'Attendance Tracker'!C49</f>
      </c>
      <c r="D12" s="10">
        <f>'Attendance Tracker'!D49</f>
      </c>
      <c r="E12" s="10">
        <f>'Attendance Tracker'!F49</f>
      </c>
      <c r="F12" s="10">
        <f>'Attendance Tracker'!G49</f>
      </c>
      <c r="G12" s="10">
        <f>'Attendance Tracker'!H49</f>
      </c>
    </row>
    <row x14ac:dyDescent="0.25" r="13" customHeight="1" ht="18.75">
      <c r="A13" s="8">
        <f>'Attendance Tracker'!A50</f>
        <v>25569.229166666668</v>
      </c>
      <c r="B13" s="9">
        <f>'Attendance Tracker'!B50</f>
      </c>
      <c r="C13" s="10">
        <f>'Attendance Tracker'!C50</f>
      </c>
      <c r="D13" s="10">
        <f>'Attendance Tracker'!D50</f>
      </c>
      <c r="E13" s="10">
        <f>'Attendance Tracker'!F50</f>
      </c>
      <c r="F13" s="10">
        <f>'Attendance Tracker'!G50</f>
      </c>
      <c r="G13" s="10">
        <f>'Attendance Tracker'!H50</f>
      </c>
    </row>
    <row x14ac:dyDescent="0.25" r="14" customHeight="1" ht="18.75">
      <c r="A14" s="8">
        <f>'Attendance Tracker'!A51</f>
        <v>25569.229166666668</v>
      </c>
      <c r="B14" s="9">
        <f>'Attendance Tracker'!B51</f>
      </c>
      <c r="C14" s="10">
        <f>'Attendance Tracker'!C51</f>
      </c>
      <c r="D14" s="10">
        <f>'Attendance Tracker'!D51</f>
      </c>
      <c r="E14" s="10">
        <f>'Attendance Tracker'!F51</f>
      </c>
      <c r="F14" s="10">
        <f>'Attendance Tracker'!G51</f>
      </c>
      <c r="G14" s="10">
        <f>'Attendance Tracker'!H51</f>
      </c>
    </row>
    <row x14ac:dyDescent="0.25" r="15" customHeight="1" ht="18.75">
      <c r="A15" s="8">
        <f>'Attendance Tracker'!A52</f>
        <v>25569.229166666668</v>
      </c>
      <c r="B15" s="9">
        <f>'Attendance Tracker'!B52</f>
      </c>
      <c r="C15" s="10">
        <f>'Attendance Tracker'!C52</f>
      </c>
      <c r="D15" s="10">
        <f>'Attendance Tracker'!D52</f>
      </c>
      <c r="E15" s="10">
        <f>'Attendance Tracker'!F52</f>
      </c>
      <c r="F15" s="10">
        <f>'Attendance Tracker'!G52</f>
      </c>
      <c r="G15" s="10">
        <f>'Attendance Tracker'!H52</f>
      </c>
    </row>
    <row x14ac:dyDescent="0.25" r="16" customHeight="1" ht="18.75">
      <c r="A16" s="8">
        <f>'Attendance Tracker'!A53</f>
        <v>25569.229166666668</v>
      </c>
      <c r="B16" s="9">
        <f>'Attendance Tracker'!B53</f>
      </c>
      <c r="C16" s="10">
        <f>'Attendance Tracker'!C53</f>
      </c>
      <c r="D16" s="10">
        <f>'Attendance Tracker'!D53</f>
      </c>
      <c r="E16" s="10">
        <f>'Attendance Tracker'!F53</f>
      </c>
      <c r="F16" s="10">
        <f>'Attendance Tracker'!G53</f>
      </c>
      <c r="G16" s="10">
        <f>'Attendance Tracker'!H53</f>
      </c>
    </row>
    <row x14ac:dyDescent="0.25" r="17" customHeight="1" ht="18.75">
      <c r="A17" s="8">
        <f>'Attendance Tracker'!A54</f>
        <v>25569.229166666668</v>
      </c>
      <c r="B17" s="9">
        <f>'Attendance Tracker'!B54</f>
      </c>
      <c r="C17" s="10">
        <f>'Attendance Tracker'!C54</f>
      </c>
      <c r="D17" s="10">
        <f>'Attendance Tracker'!D54</f>
      </c>
      <c r="E17" s="10">
        <f>'Attendance Tracker'!F54</f>
      </c>
      <c r="F17" s="10">
        <f>'Attendance Tracker'!G54</f>
      </c>
      <c r="G17" s="10">
        <f>'Attendance Tracker'!H54</f>
      </c>
    </row>
    <row x14ac:dyDescent="0.25" r="18" customHeight="1" ht="18.75">
      <c r="A18" s="8">
        <f>'Attendance Tracker'!A55</f>
        <v>25569.229166666668</v>
      </c>
      <c r="B18" s="9">
        <f>'Attendance Tracker'!B55</f>
      </c>
      <c r="C18" s="10">
        <f>'Attendance Tracker'!C55</f>
      </c>
      <c r="D18" s="10">
        <f>'Attendance Tracker'!D55</f>
      </c>
      <c r="E18" s="10">
        <f>'Attendance Tracker'!F55</f>
      </c>
      <c r="F18" s="10">
        <f>'Attendance Tracker'!G55</f>
      </c>
      <c r="G18" s="10">
        <f>'Attendance Tracker'!H55</f>
      </c>
    </row>
    <row x14ac:dyDescent="0.25" r="19" customHeight="1" ht="18.75">
      <c r="A19" s="8">
        <f>'Attendance Tracker'!A56</f>
        <v>25569.229166666668</v>
      </c>
      <c r="B19" s="9">
        <f>'Attendance Tracker'!B56</f>
      </c>
      <c r="C19" s="10">
        <f>'Attendance Tracker'!C56</f>
      </c>
      <c r="D19" s="10">
        <f>'Attendance Tracker'!D56</f>
      </c>
      <c r="E19" s="10">
        <f>'Attendance Tracker'!F56</f>
      </c>
      <c r="F19" s="10">
        <f>'Attendance Tracker'!G56</f>
      </c>
      <c r="G19" s="10">
        <f>'Attendance Tracker'!H56</f>
      </c>
    </row>
    <row x14ac:dyDescent="0.25" r="20" customHeight="1" ht="18.75">
      <c r="A20" s="8">
        <f>'Attendance Tracker'!A57</f>
        <v>25569.229166666668</v>
      </c>
      <c r="B20" s="9">
        <f>'Attendance Tracker'!B57</f>
      </c>
      <c r="C20" s="10">
        <f>'Attendance Tracker'!C57</f>
      </c>
      <c r="D20" s="10">
        <f>'Attendance Tracker'!D57</f>
      </c>
      <c r="E20" s="10">
        <f>'Attendance Tracker'!F57</f>
      </c>
      <c r="F20" s="10">
        <f>'Attendance Tracker'!G57</f>
      </c>
      <c r="G20" s="10">
        <f>'Attendance Tracker'!H57</f>
      </c>
    </row>
    <row x14ac:dyDescent="0.25" r="21" customHeight="1" ht="18.75">
      <c r="A21" s="8">
        <f>'Attendance Tracker'!A58</f>
        <v>25569.229166666668</v>
      </c>
      <c r="B21" s="9">
        <f>'Attendance Tracker'!B58</f>
      </c>
      <c r="C21" s="10">
        <f>'Attendance Tracker'!C58</f>
      </c>
      <c r="D21" s="10">
        <f>'Attendance Tracker'!D58</f>
      </c>
      <c r="E21" s="10">
        <f>'Attendance Tracker'!F58</f>
      </c>
      <c r="F21" s="10">
        <f>'Attendance Tracker'!G58</f>
      </c>
      <c r="G21" s="10">
        <f>'Attendance Tracker'!H58</f>
      </c>
    </row>
    <row x14ac:dyDescent="0.25" r="22" customHeight="1" ht="18.75">
      <c r="A22" s="8">
        <f>'Attendance Tracker'!A59</f>
        <v>25569.229166666668</v>
      </c>
      <c r="B22" s="9">
        <f>'Attendance Tracker'!B59</f>
      </c>
      <c r="C22" s="10">
        <f>'Attendance Tracker'!C59</f>
      </c>
      <c r="D22" s="10">
        <f>'Attendance Tracker'!D59</f>
      </c>
      <c r="E22" s="10">
        <f>'Attendance Tracker'!F59</f>
      </c>
      <c r="F22" s="10">
        <f>'Attendance Tracker'!G59</f>
      </c>
      <c r="G22" s="10">
        <f>'Attendance Tracker'!H59</f>
      </c>
    </row>
    <row x14ac:dyDescent="0.25" r="23" customHeight="1" ht="18.75">
      <c r="A23" s="8">
        <f>'Attendance Tracker'!A60</f>
        <v>25569.229166666668</v>
      </c>
      <c r="B23" s="9">
        <f>'Attendance Tracker'!B60</f>
      </c>
      <c r="C23" s="10">
        <f>'Attendance Tracker'!C60</f>
      </c>
      <c r="D23" s="10">
        <f>'Attendance Tracker'!D60</f>
      </c>
      <c r="E23" s="10">
        <f>'Attendance Tracker'!F60</f>
      </c>
      <c r="F23" s="10">
        <f>'Attendance Tracker'!G60</f>
      </c>
      <c r="G23" s="10">
        <f>'Attendance Tracker'!H60</f>
      </c>
    </row>
    <row x14ac:dyDescent="0.25" r="24" customHeight="1" ht="18.75">
      <c r="A24" s="8">
        <f>'Attendance Tracker'!A61</f>
        <v>25569.229166666668</v>
      </c>
      <c r="B24" s="9">
        <f>'Attendance Tracker'!B61</f>
      </c>
      <c r="C24" s="10">
        <f>'Attendance Tracker'!C61</f>
      </c>
      <c r="D24" s="10">
        <f>'Attendance Tracker'!D61</f>
      </c>
      <c r="E24" s="10">
        <f>'Attendance Tracker'!F61</f>
      </c>
      <c r="F24" s="10">
        <f>'Attendance Tracker'!G61</f>
      </c>
      <c r="G24" s="10">
        <f>'Attendance Tracker'!H61</f>
      </c>
    </row>
    <row x14ac:dyDescent="0.25" r="25" customHeight="1" ht="18.75">
      <c r="A25" s="8">
        <f>'Attendance Tracker'!A62</f>
        <v>25569.229166666668</v>
      </c>
      <c r="B25" s="9">
        <f>'Attendance Tracker'!B62</f>
      </c>
      <c r="C25" s="10">
        <f>'Attendance Tracker'!C62</f>
      </c>
      <c r="D25" s="10">
        <f>'Attendance Tracker'!D62</f>
      </c>
      <c r="E25" s="10">
        <f>'Attendance Tracker'!F62</f>
      </c>
      <c r="F25" s="10">
        <f>'Attendance Tracker'!G62</f>
      </c>
      <c r="G25" s="10">
        <f>'Attendance Tracker'!H62</f>
      </c>
    </row>
    <row x14ac:dyDescent="0.25" r="26" customHeight="1" ht="18.75">
      <c r="A26" s="8">
        <f>'Attendance Tracker'!A63</f>
        <v>25569.229166666668</v>
      </c>
      <c r="B26" s="9">
        <f>'Attendance Tracker'!B63</f>
      </c>
      <c r="C26" s="10">
        <f>'Attendance Tracker'!C63</f>
      </c>
      <c r="D26" s="10">
        <f>'Attendance Tracker'!D63</f>
      </c>
      <c r="E26" s="10">
        <f>'Attendance Tracker'!F63</f>
      </c>
      <c r="F26" s="10">
        <f>'Attendance Tracker'!G63</f>
      </c>
      <c r="G26" s="10">
        <f>'Attendance Tracker'!H63</f>
      </c>
    </row>
    <row x14ac:dyDescent="0.25" r="27" customHeight="1" ht="18.75">
      <c r="A27" s="8">
        <f>'Attendance Tracker'!A64</f>
        <v>25569.229166666668</v>
      </c>
      <c r="B27" s="9">
        <f>'Attendance Tracker'!B64</f>
      </c>
      <c r="C27" s="10">
        <f>'Attendance Tracker'!C64</f>
      </c>
      <c r="D27" s="10">
        <f>'Attendance Tracker'!D64</f>
      </c>
      <c r="E27" s="10">
        <f>'Attendance Tracker'!F64</f>
      </c>
      <c r="F27" s="10">
        <f>'Attendance Tracker'!G64</f>
      </c>
      <c r="G27" s="10">
        <f>'Attendance Tracker'!H64</f>
      </c>
    </row>
    <row x14ac:dyDescent="0.25" r="28" customHeight="1" ht="18.75">
      <c r="A28" s="8">
        <f>'Attendance Tracker'!A65</f>
        <v>25569.229166666668</v>
      </c>
      <c r="B28" s="9">
        <f>'Attendance Tracker'!B65</f>
      </c>
      <c r="C28" s="10">
        <f>'Attendance Tracker'!C65</f>
      </c>
      <c r="D28" s="10">
        <f>'Attendance Tracker'!D65</f>
      </c>
      <c r="E28" s="10">
        <f>'Attendance Tracker'!F65</f>
      </c>
      <c r="F28" s="10">
        <f>'Attendance Tracker'!G65</f>
      </c>
      <c r="G28" s="10">
        <f>'Attendance Tracker'!H65</f>
      </c>
    </row>
    <row x14ac:dyDescent="0.25" r="29" customHeight="1" ht="18.75">
      <c r="A29" s="8">
        <f>'Attendance Tracker'!A66</f>
        <v>25569.229166666668</v>
      </c>
      <c r="B29" s="9">
        <f>'Attendance Tracker'!B66</f>
      </c>
      <c r="C29" s="10">
        <f>'Attendance Tracker'!C66</f>
      </c>
      <c r="D29" s="10">
        <f>'Attendance Tracker'!D66</f>
      </c>
      <c r="E29" s="10">
        <f>'Attendance Tracker'!F66</f>
      </c>
      <c r="F29" s="10">
        <f>'Attendance Tracker'!G66</f>
      </c>
      <c r="G29" s="10">
        <f>'Attendance Tracker'!H66</f>
      </c>
    </row>
    <row x14ac:dyDescent="0.25" r="30" customHeight="1" ht="18.75">
      <c r="A30" s="8">
        <f>'Attendance Tracker'!A67</f>
        <v>25569.229166666668</v>
      </c>
      <c r="B30" s="9">
        <f>'Attendance Tracker'!B67</f>
      </c>
      <c r="C30" s="10">
        <f>'Attendance Tracker'!C67</f>
      </c>
      <c r="D30" s="10">
        <f>'Attendance Tracker'!D67</f>
      </c>
      <c r="E30" s="10">
        <f>'Attendance Tracker'!F67</f>
      </c>
      <c r="F30" s="10">
        <f>'Attendance Tracker'!G67</f>
      </c>
      <c r="G30" s="10">
        <f>'Attendance Tracker'!H67</f>
      </c>
    </row>
    <row x14ac:dyDescent="0.25" r="31" customHeight="1" ht="18.75">
      <c r="A31" s="8">
        <f>'Attendance Tracker'!A68</f>
        <v>25569.229166666668</v>
      </c>
      <c r="B31" s="9">
        <f>'Attendance Tracker'!B68</f>
      </c>
      <c r="C31" s="10">
        <f>'Attendance Tracker'!C68</f>
      </c>
      <c r="D31" s="10">
        <f>'Attendance Tracker'!D68</f>
      </c>
      <c r="E31" s="10">
        <f>'Attendance Tracker'!F68</f>
      </c>
      <c r="F31" s="10">
        <f>'Attendance Tracker'!G68</f>
      </c>
      <c r="G31" s="10">
        <f>'Attendance Tracker'!H68</f>
      </c>
    </row>
    <row x14ac:dyDescent="0.25" r="32" customHeight="1" ht="18.75">
      <c r="A32" s="8">
        <f>'Attendance Tracker'!A69</f>
        <v>25569.229166666668</v>
      </c>
      <c r="B32" s="9">
        <f>'Attendance Tracker'!B69</f>
      </c>
      <c r="C32" s="10">
        <f>'Attendance Tracker'!C69</f>
      </c>
      <c r="D32" s="10">
        <f>'Attendance Tracker'!D69</f>
      </c>
      <c r="E32" s="10">
        <f>'Attendance Tracker'!F69</f>
      </c>
      <c r="F32" s="10">
        <f>'Attendance Tracker'!G69</f>
      </c>
      <c r="G32" s="10">
        <f>'Attendance Tracker'!H69</f>
      </c>
    </row>
    <row x14ac:dyDescent="0.25" r="33" customHeight="1" ht="18.75">
      <c r="A33" s="8">
        <f>'Attendance Tracker'!A70</f>
        <v>25569.229166666668</v>
      </c>
      <c r="B33" s="9">
        <f>'Attendance Tracker'!B70</f>
      </c>
      <c r="C33" s="10">
        <f>'Attendance Tracker'!C70</f>
      </c>
      <c r="D33" s="10">
        <f>'Attendance Tracker'!D70</f>
      </c>
      <c r="E33" s="10">
        <f>'Attendance Tracker'!F70</f>
      </c>
      <c r="F33" s="10">
        <f>'Attendance Tracker'!G70</f>
      </c>
      <c r="G33" s="10">
        <f>'Attendance Tracker'!H70</f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1" width="15.005" customWidth="1" bestFit="1"/>
    <col min="2" max="2" style="12" width="10.005" customWidth="1" bestFit="1"/>
    <col min="3" max="3" style="13" width="28.005" customWidth="1" bestFit="1"/>
    <col min="4" max="4" style="13" width="14.005" customWidth="1" bestFit="1"/>
    <col min="5" max="5" style="13" width="28.005" customWidth="1" bestFit="1"/>
    <col min="6" max="6" style="13" width="10.005" customWidth="1" bestFit="1"/>
    <col min="7" max="7" style="13" width="10.005" customWidth="1" bestFit="1"/>
  </cols>
  <sheetData>
    <row x14ac:dyDescent="0.25" r="1" customHeight="1" ht="18.75">
      <c r="A1" s="1" t="s">
        <v>8</v>
      </c>
      <c r="B1" s="2"/>
      <c r="C1" s="3"/>
      <c r="D1" s="3"/>
      <c r="E1" s="3"/>
      <c r="F1" s="3"/>
      <c r="G1" s="3"/>
    </row>
    <row x14ac:dyDescent="0.25" r="2" customHeight="1" ht="18.75">
      <c r="A2" s="4"/>
      <c r="B2" s="2"/>
      <c r="C2" s="3"/>
      <c r="D2" s="3"/>
      <c r="E2" s="3"/>
      <c r="F2" s="3"/>
      <c r="G2" s="3"/>
    </row>
    <row x14ac:dyDescent="0.25" r="3" customHeight="1" ht="18.75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x14ac:dyDescent="0.25" r="4" customHeight="1" ht="18.75">
      <c r="A4" s="8">
        <f>'Attendance Tracker'!A71</f>
        <v>25569.229166666668</v>
      </c>
      <c r="B4" s="9">
        <f>'Attendance Tracker'!B71</f>
      </c>
      <c r="C4" s="10">
        <f>'Attendance Tracker'!C71</f>
      </c>
      <c r="D4" s="10">
        <f>'Attendance Tracker'!D71</f>
      </c>
      <c r="E4" s="10">
        <f>'Attendance Tracker'!F71</f>
      </c>
      <c r="F4" s="10">
        <f>'Attendance Tracker'!G71</f>
      </c>
      <c r="G4" s="10">
        <f>'Attendance Tracker'!H71</f>
      </c>
    </row>
    <row x14ac:dyDescent="0.25" r="5" customHeight="1" ht="18.75">
      <c r="A5" s="8">
        <f>'Attendance Tracker'!A72</f>
        <v>25569.229166666668</v>
      </c>
      <c r="B5" s="9">
        <f>'Attendance Tracker'!B72</f>
      </c>
      <c r="C5" s="10">
        <f>'Attendance Tracker'!C72</f>
      </c>
      <c r="D5" s="10">
        <f>'Attendance Tracker'!D72</f>
      </c>
      <c r="E5" s="10">
        <f>'Attendance Tracker'!F72</f>
      </c>
      <c r="F5" s="10">
        <f>'Attendance Tracker'!G72</f>
      </c>
      <c r="G5" s="10">
        <f>'Attendance Tracker'!H72</f>
      </c>
    </row>
    <row x14ac:dyDescent="0.25" r="6" customHeight="1" ht="18.75">
      <c r="A6" s="8">
        <f>'Attendance Tracker'!A73</f>
        <v>25569.229166666668</v>
      </c>
      <c r="B6" s="9">
        <f>'Attendance Tracker'!B73</f>
      </c>
      <c r="C6" s="10">
        <f>'Attendance Tracker'!C73</f>
      </c>
      <c r="D6" s="10">
        <f>'Attendance Tracker'!D73</f>
      </c>
      <c r="E6" s="10">
        <f>'Attendance Tracker'!F73</f>
      </c>
      <c r="F6" s="10">
        <f>'Attendance Tracker'!G73</f>
      </c>
      <c r="G6" s="10">
        <f>'Attendance Tracker'!H73</f>
      </c>
    </row>
    <row x14ac:dyDescent="0.25" r="7" customHeight="1" ht="18.75">
      <c r="A7" s="8">
        <f>'Attendance Tracker'!A74</f>
        <v>25569.229166666668</v>
      </c>
      <c r="B7" s="9">
        <f>'Attendance Tracker'!B74</f>
      </c>
      <c r="C7" s="10">
        <f>'Attendance Tracker'!C74</f>
      </c>
      <c r="D7" s="10">
        <f>'Attendance Tracker'!D74</f>
      </c>
      <c r="E7" s="10">
        <f>'Attendance Tracker'!F74</f>
      </c>
      <c r="F7" s="10">
        <f>'Attendance Tracker'!G74</f>
      </c>
      <c r="G7" s="10">
        <f>'Attendance Tracker'!H74</f>
      </c>
    </row>
    <row x14ac:dyDescent="0.25" r="8" customHeight="1" ht="18.75">
      <c r="A8" s="8">
        <f>'Attendance Tracker'!A75</f>
        <v>25569.229166666668</v>
      </c>
      <c r="B8" s="9">
        <f>'Attendance Tracker'!B75</f>
      </c>
      <c r="C8" s="10">
        <f>'Attendance Tracker'!C75</f>
      </c>
      <c r="D8" s="10">
        <f>'Attendance Tracker'!D75</f>
      </c>
      <c r="E8" s="10">
        <f>'Attendance Tracker'!F75</f>
      </c>
      <c r="F8" s="10">
        <f>'Attendance Tracker'!G75</f>
      </c>
      <c r="G8" s="10">
        <f>'Attendance Tracker'!H75</f>
      </c>
    </row>
    <row x14ac:dyDescent="0.25" r="9" customHeight="1" ht="18.75">
      <c r="A9" s="8">
        <f>'Attendance Tracker'!A76</f>
        <v>25569.229166666668</v>
      </c>
      <c r="B9" s="9">
        <f>'Attendance Tracker'!B76</f>
      </c>
      <c r="C9" s="10">
        <f>'Attendance Tracker'!C76</f>
      </c>
      <c r="D9" s="10">
        <f>'Attendance Tracker'!D76</f>
      </c>
      <c r="E9" s="10">
        <f>'Attendance Tracker'!F76</f>
      </c>
      <c r="F9" s="10">
        <f>'Attendance Tracker'!G76</f>
      </c>
      <c r="G9" s="10">
        <f>'Attendance Tracker'!H76</f>
      </c>
    </row>
    <row x14ac:dyDescent="0.25" r="10" customHeight="1" ht="18.75">
      <c r="A10" s="8">
        <f>'Attendance Tracker'!A77</f>
        <v>25569.229166666668</v>
      </c>
      <c r="B10" s="9">
        <f>'Attendance Tracker'!B77</f>
      </c>
      <c r="C10" s="10">
        <f>'Attendance Tracker'!C77</f>
      </c>
      <c r="D10" s="10">
        <f>'Attendance Tracker'!D77</f>
      </c>
      <c r="E10" s="10">
        <f>'Attendance Tracker'!F77</f>
      </c>
      <c r="F10" s="10">
        <f>'Attendance Tracker'!G77</f>
      </c>
      <c r="G10" s="10">
        <f>'Attendance Tracker'!H77</f>
      </c>
    </row>
    <row x14ac:dyDescent="0.25" r="11" customHeight="1" ht="18.75">
      <c r="A11" s="8">
        <f>'Attendance Tracker'!A78</f>
        <v>25569.229166666668</v>
      </c>
      <c r="B11" s="9">
        <f>'Attendance Tracker'!B78</f>
      </c>
      <c r="C11" s="10">
        <f>'Attendance Tracker'!C78</f>
      </c>
      <c r="D11" s="10">
        <f>'Attendance Tracker'!D78</f>
      </c>
      <c r="E11" s="10">
        <f>'Attendance Tracker'!F78</f>
      </c>
      <c r="F11" s="10">
        <f>'Attendance Tracker'!G78</f>
      </c>
      <c r="G11" s="10">
        <f>'Attendance Tracker'!H78</f>
      </c>
    </row>
    <row x14ac:dyDescent="0.25" r="12" customHeight="1" ht="18.75">
      <c r="A12" s="8">
        <f>'Attendance Tracker'!A79</f>
        <v>25569.229166666668</v>
      </c>
      <c r="B12" s="9">
        <f>'Attendance Tracker'!B79</f>
      </c>
      <c r="C12" s="10">
        <f>'Attendance Tracker'!C79</f>
      </c>
      <c r="D12" s="10">
        <f>'Attendance Tracker'!D79</f>
      </c>
      <c r="E12" s="10">
        <f>'Attendance Tracker'!F79</f>
      </c>
      <c r="F12" s="10">
        <f>'Attendance Tracker'!G79</f>
      </c>
      <c r="G12" s="10">
        <f>'Attendance Tracker'!H79</f>
      </c>
    </row>
    <row x14ac:dyDescent="0.25" r="13" customHeight="1" ht="18.75">
      <c r="A13" s="8">
        <f>'Attendance Tracker'!A80</f>
        <v>25569.229166666668</v>
      </c>
      <c r="B13" s="9">
        <f>'Attendance Tracker'!B80</f>
      </c>
      <c r="C13" s="10">
        <f>'Attendance Tracker'!C80</f>
      </c>
      <c r="D13" s="10">
        <f>'Attendance Tracker'!D80</f>
      </c>
      <c r="E13" s="10">
        <f>'Attendance Tracker'!F80</f>
      </c>
      <c r="F13" s="10">
        <f>'Attendance Tracker'!G80</f>
      </c>
      <c r="G13" s="10">
        <f>'Attendance Tracker'!H80</f>
      </c>
    </row>
    <row x14ac:dyDescent="0.25" r="14" customHeight="1" ht="18.75">
      <c r="A14" s="8">
        <f>'Attendance Tracker'!A81</f>
        <v>25569.229166666668</v>
      </c>
      <c r="B14" s="9">
        <f>'Attendance Tracker'!B81</f>
      </c>
      <c r="C14" s="10">
        <f>'Attendance Tracker'!C81</f>
      </c>
      <c r="D14" s="10">
        <f>'Attendance Tracker'!D81</f>
      </c>
      <c r="E14" s="10">
        <f>'Attendance Tracker'!F81</f>
      </c>
      <c r="F14" s="10">
        <f>'Attendance Tracker'!G81</f>
      </c>
      <c r="G14" s="10">
        <f>'Attendance Tracker'!H81</f>
      </c>
    </row>
    <row x14ac:dyDescent="0.25" r="15" customHeight="1" ht="18.75">
      <c r="A15" s="8">
        <f>'Attendance Tracker'!A82</f>
        <v>25569.229166666668</v>
      </c>
      <c r="B15" s="9">
        <f>'Attendance Tracker'!B82</f>
      </c>
      <c r="C15" s="10">
        <f>'Attendance Tracker'!C82</f>
      </c>
      <c r="D15" s="10">
        <f>'Attendance Tracker'!D82</f>
      </c>
      <c r="E15" s="10">
        <f>'Attendance Tracker'!F82</f>
      </c>
      <c r="F15" s="10">
        <f>'Attendance Tracker'!G82</f>
      </c>
      <c r="G15" s="10">
        <f>'Attendance Tracker'!H82</f>
      </c>
    </row>
    <row x14ac:dyDescent="0.25" r="16" customHeight="1" ht="18.75">
      <c r="A16" s="8">
        <f>'Attendance Tracker'!A83</f>
        <v>25569.229166666668</v>
      </c>
      <c r="B16" s="9">
        <f>'Attendance Tracker'!B83</f>
      </c>
      <c r="C16" s="10">
        <f>'Attendance Tracker'!C83</f>
      </c>
      <c r="D16" s="10">
        <f>'Attendance Tracker'!D83</f>
      </c>
      <c r="E16" s="10">
        <f>'Attendance Tracker'!F83</f>
      </c>
      <c r="F16" s="10">
        <f>'Attendance Tracker'!G83</f>
      </c>
      <c r="G16" s="10">
        <f>'Attendance Tracker'!H83</f>
      </c>
    </row>
    <row x14ac:dyDescent="0.25" r="17" customHeight="1" ht="18.75">
      <c r="A17" s="8">
        <f>'Attendance Tracker'!A84</f>
        <v>25569.229166666668</v>
      </c>
      <c r="B17" s="9">
        <f>'Attendance Tracker'!B84</f>
      </c>
      <c r="C17" s="10">
        <f>'Attendance Tracker'!C84</f>
      </c>
      <c r="D17" s="10">
        <f>'Attendance Tracker'!D84</f>
      </c>
      <c r="E17" s="10">
        <f>'Attendance Tracker'!F84</f>
      </c>
      <c r="F17" s="10">
        <f>'Attendance Tracker'!G84</f>
      </c>
      <c r="G17" s="10">
        <f>'Attendance Tracker'!H84</f>
      </c>
    </row>
    <row x14ac:dyDescent="0.25" r="18" customHeight="1" ht="18.75">
      <c r="A18" s="8">
        <f>'Attendance Tracker'!A85</f>
        <v>25569.229166666668</v>
      </c>
      <c r="B18" s="9">
        <f>'Attendance Tracker'!B85</f>
      </c>
      <c r="C18" s="10">
        <f>'Attendance Tracker'!C85</f>
      </c>
      <c r="D18" s="10">
        <f>'Attendance Tracker'!D85</f>
      </c>
      <c r="E18" s="10">
        <f>'Attendance Tracker'!F85</f>
      </c>
      <c r="F18" s="10">
        <f>'Attendance Tracker'!G85</f>
      </c>
      <c r="G18" s="10">
        <f>'Attendance Tracker'!H85</f>
      </c>
    </row>
    <row x14ac:dyDescent="0.25" r="19" customHeight="1" ht="18.75">
      <c r="A19" s="8">
        <f>'Attendance Tracker'!A86</f>
        <v>25569.229166666668</v>
      </c>
      <c r="B19" s="9">
        <f>'Attendance Tracker'!B86</f>
      </c>
      <c r="C19" s="10">
        <f>'Attendance Tracker'!C86</f>
      </c>
      <c r="D19" s="10">
        <f>'Attendance Tracker'!D86</f>
      </c>
      <c r="E19" s="10">
        <f>'Attendance Tracker'!F86</f>
      </c>
      <c r="F19" s="10">
        <f>'Attendance Tracker'!G86</f>
      </c>
      <c r="G19" s="10">
        <f>'Attendance Tracker'!H86</f>
      </c>
    </row>
    <row x14ac:dyDescent="0.25" r="20" customHeight="1" ht="18.75">
      <c r="A20" s="8">
        <f>'Attendance Tracker'!A87</f>
        <v>25569.229166666668</v>
      </c>
      <c r="B20" s="9">
        <f>'Attendance Tracker'!B87</f>
      </c>
      <c r="C20" s="10">
        <f>'Attendance Tracker'!C87</f>
      </c>
      <c r="D20" s="10">
        <f>'Attendance Tracker'!D87</f>
      </c>
      <c r="E20" s="10">
        <f>'Attendance Tracker'!F87</f>
      </c>
      <c r="F20" s="10">
        <f>'Attendance Tracker'!G87</f>
      </c>
      <c r="G20" s="10">
        <f>'Attendance Tracker'!H87</f>
      </c>
    </row>
    <row x14ac:dyDescent="0.25" r="21" customHeight="1" ht="18.75">
      <c r="A21" s="8">
        <f>'Attendance Tracker'!A88</f>
        <v>25569.229166666668</v>
      </c>
      <c r="B21" s="9">
        <f>'Attendance Tracker'!B88</f>
      </c>
      <c r="C21" s="10">
        <f>'Attendance Tracker'!C88</f>
      </c>
      <c r="D21" s="10">
        <f>'Attendance Tracker'!D88</f>
      </c>
      <c r="E21" s="10">
        <f>'Attendance Tracker'!F88</f>
      </c>
      <c r="F21" s="10">
        <f>'Attendance Tracker'!G88</f>
      </c>
      <c r="G21" s="10">
        <f>'Attendance Tracker'!H88</f>
      </c>
    </row>
    <row x14ac:dyDescent="0.25" r="22" customHeight="1" ht="18.75">
      <c r="A22" s="8">
        <f>'Attendance Tracker'!A89</f>
        <v>25569.229166666668</v>
      </c>
      <c r="B22" s="9">
        <f>'Attendance Tracker'!B89</f>
      </c>
      <c r="C22" s="10">
        <f>'Attendance Tracker'!C89</f>
      </c>
      <c r="D22" s="10">
        <f>'Attendance Tracker'!D89</f>
      </c>
      <c r="E22" s="10">
        <f>'Attendance Tracker'!F89</f>
      </c>
      <c r="F22" s="10">
        <f>'Attendance Tracker'!G89</f>
      </c>
      <c r="G22" s="10">
        <f>'Attendance Tracker'!H89</f>
      </c>
    </row>
    <row x14ac:dyDescent="0.25" r="23" customHeight="1" ht="18.75">
      <c r="A23" s="8">
        <f>'Attendance Tracker'!A90</f>
        <v>25569.229166666668</v>
      </c>
      <c r="B23" s="9">
        <f>'Attendance Tracker'!B90</f>
      </c>
      <c r="C23" s="10">
        <f>'Attendance Tracker'!C90</f>
      </c>
      <c r="D23" s="10">
        <f>'Attendance Tracker'!D90</f>
      </c>
      <c r="E23" s="10">
        <f>'Attendance Tracker'!F90</f>
      </c>
      <c r="F23" s="10">
        <f>'Attendance Tracker'!G90</f>
      </c>
      <c r="G23" s="10">
        <f>'Attendance Tracker'!H90</f>
      </c>
    </row>
    <row x14ac:dyDescent="0.25" r="24" customHeight="1" ht="18.75">
      <c r="A24" s="8">
        <f>'Attendance Tracker'!A91</f>
        <v>25569.229166666668</v>
      </c>
      <c r="B24" s="9">
        <f>'Attendance Tracker'!B91</f>
      </c>
      <c r="C24" s="10">
        <f>'Attendance Tracker'!C91</f>
      </c>
      <c r="D24" s="10">
        <f>'Attendance Tracker'!D91</f>
      </c>
      <c r="E24" s="10">
        <f>'Attendance Tracker'!F91</f>
      </c>
      <c r="F24" s="10">
        <f>'Attendance Tracker'!G91</f>
      </c>
      <c r="G24" s="10">
        <f>'Attendance Tracker'!H91</f>
      </c>
    </row>
    <row x14ac:dyDescent="0.25" r="25" customHeight="1" ht="18.75">
      <c r="A25" s="8">
        <f>'Attendance Tracker'!A92</f>
        <v>25569.229166666668</v>
      </c>
      <c r="B25" s="9">
        <f>'Attendance Tracker'!B92</f>
      </c>
      <c r="C25" s="10">
        <f>'Attendance Tracker'!C92</f>
      </c>
      <c r="D25" s="10">
        <f>'Attendance Tracker'!D92</f>
      </c>
      <c r="E25" s="10">
        <f>'Attendance Tracker'!F92</f>
      </c>
      <c r="F25" s="10">
        <f>'Attendance Tracker'!G92</f>
      </c>
      <c r="G25" s="10">
        <f>'Attendance Tracker'!H92</f>
      </c>
    </row>
    <row x14ac:dyDescent="0.25" r="26" customHeight="1" ht="18.75">
      <c r="A26" s="8">
        <f>'Attendance Tracker'!A93</f>
        <v>25569.229166666668</v>
      </c>
      <c r="B26" s="9">
        <f>'Attendance Tracker'!B93</f>
      </c>
      <c r="C26" s="10">
        <f>'Attendance Tracker'!C93</f>
      </c>
      <c r="D26" s="10">
        <f>'Attendance Tracker'!D93</f>
      </c>
      <c r="E26" s="10">
        <f>'Attendance Tracker'!F93</f>
      </c>
      <c r="F26" s="10">
        <f>'Attendance Tracker'!G93</f>
      </c>
      <c r="G26" s="10">
        <f>'Attendance Tracker'!H93</f>
      </c>
    </row>
    <row x14ac:dyDescent="0.25" r="27" customHeight="1" ht="18.75">
      <c r="A27" s="8">
        <f>'Attendance Tracker'!A94</f>
        <v>25569.229166666668</v>
      </c>
      <c r="B27" s="9">
        <f>'Attendance Tracker'!B94</f>
      </c>
      <c r="C27" s="10">
        <f>'Attendance Tracker'!C94</f>
      </c>
      <c r="D27" s="10">
        <f>'Attendance Tracker'!D94</f>
      </c>
      <c r="E27" s="10">
        <f>'Attendance Tracker'!F94</f>
      </c>
      <c r="F27" s="10">
        <f>'Attendance Tracker'!G94</f>
      </c>
      <c r="G27" s="10">
        <f>'Attendance Tracker'!H94</f>
      </c>
    </row>
    <row x14ac:dyDescent="0.25" r="28" customHeight="1" ht="18.75">
      <c r="A28" s="8">
        <f>'Attendance Tracker'!A95</f>
        <v>25569.229166666668</v>
      </c>
      <c r="B28" s="9">
        <f>'Attendance Tracker'!B95</f>
      </c>
      <c r="C28" s="10">
        <f>'Attendance Tracker'!C95</f>
      </c>
      <c r="D28" s="10">
        <f>'Attendance Tracker'!D95</f>
      </c>
      <c r="E28" s="10">
        <f>'Attendance Tracker'!F95</f>
      </c>
      <c r="F28" s="10">
        <f>'Attendance Tracker'!G95</f>
      </c>
      <c r="G28" s="10">
        <f>'Attendance Tracker'!H95</f>
      </c>
    </row>
    <row x14ac:dyDescent="0.25" r="29" customHeight="1" ht="18.75">
      <c r="A29" s="8">
        <f>'Attendance Tracker'!A96</f>
        <v>25569.229166666668</v>
      </c>
      <c r="B29" s="9">
        <f>'Attendance Tracker'!B96</f>
      </c>
      <c r="C29" s="10">
        <f>'Attendance Tracker'!C96</f>
      </c>
      <c r="D29" s="10">
        <f>'Attendance Tracker'!D96</f>
      </c>
      <c r="E29" s="10">
        <f>'Attendance Tracker'!F96</f>
      </c>
      <c r="F29" s="10">
        <f>'Attendance Tracker'!G96</f>
      </c>
      <c r="G29" s="10">
        <f>'Attendance Tracker'!H96</f>
      </c>
    </row>
    <row x14ac:dyDescent="0.25" r="30" customHeight="1" ht="18.75">
      <c r="A30" s="8">
        <f>'Attendance Tracker'!A97</f>
        <v>25569.229166666668</v>
      </c>
      <c r="B30" s="9">
        <f>'Attendance Tracker'!B97</f>
      </c>
      <c r="C30" s="10">
        <f>'Attendance Tracker'!C97</f>
      </c>
      <c r="D30" s="10">
        <f>'Attendance Tracker'!D97</f>
      </c>
      <c r="E30" s="10">
        <f>'Attendance Tracker'!F97</f>
      </c>
      <c r="F30" s="10">
        <f>'Attendance Tracker'!G97</f>
      </c>
      <c r="G30" s="10">
        <f>'Attendance Tracker'!H97</f>
      </c>
    </row>
    <row x14ac:dyDescent="0.25" r="31" customHeight="1" ht="18.75">
      <c r="A31" s="8">
        <f>'Attendance Tracker'!A98</f>
        <v>25569.229166666668</v>
      </c>
      <c r="B31" s="9">
        <f>'Attendance Tracker'!B98</f>
      </c>
      <c r="C31" s="10">
        <f>'Attendance Tracker'!C98</f>
      </c>
      <c r="D31" s="10">
        <f>'Attendance Tracker'!D98</f>
      </c>
      <c r="E31" s="10">
        <f>'Attendance Tracker'!F98</f>
      </c>
      <c r="F31" s="10">
        <f>'Attendance Tracker'!G98</f>
      </c>
      <c r="G31" s="10">
        <f>'Attendance Tracker'!H98</f>
      </c>
    </row>
    <row x14ac:dyDescent="0.25" r="32" customHeight="1" ht="18.75">
      <c r="A32" s="8">
        <f>'Attendance Tracker'!A99</f>
        <v>25569.229166666668</v>
      </c>
      <c r="B32" s="9">
        <f>'Attendance Tracker'!B99</f>
      </c>
      <c r="C32" s="10">
        <f>'Attendance Tracker'!C99</f>
      </c>
      <c r="D32" s="10">
        <f>'Attendance Tracker'!D99</f>
      </c>
      <c r="E32" s="10">
        <f>'Attendance Tracker'!F99</f>
      </c>
      <c r="F32" s="10">
        <f>'Attendance Tracker'!G99</f>
      </c>
      <c r="G32" s="10">
        <f>'Attendance Tracker'!H99</f>
      </c>
    </row>
    <row x14ac:dyDescent="0.25" r="33" customHeight="1" ht="18.75">
      <c r="A33" s="8">
        <f>'Attendance Tracker'!A100</f>
        <v>25569.229166666668</v>
      </c>
      <c r="B33" s="9">
        <f>'Attendance Tracker'!B100</f>
      </c>
      <c r="C33" s="10">
        <f>'Attendance Tracker'!C100</f>
      </c>
      <c r="D33" s="10">
        <f>'Attendance Tracker'!D100</f>
      </c>
      <c r="E33" s="10">
        <f>'Attendance Tracker'!F100</f>
      </c>
      <c r="F33" s="10">
        <f>'Attendance Tracker'!G100</f>
      </c>
      <c r="G33" s="10">
        <f>'Attendance Tracker'!H100</f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1" width="15.005" customWidth="1" bestFit="1"/>
    <col min="2" max="2" style="12" width="10.005" customWidth="1" bestFit="1"/>
    <col min="3" max="3" style="13" width="28.005" customWidth="1" bestFit="1"/>
    <col min="4" max="4" style="13" width="14.005" customWidth="1" bestFit="1"/>
    <col min="5" max="5" style="13" width="28.005" customWidth="1" bestFit="1"/>
    <col min="6" max="6" style="13" width="10.005" customWidth="1" bestFit="1"/>
    <col min="7" max="7" style="13" width="10.005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  <c r="F1" s="3"/>
      <c r="G1" s="3"/>
    </row>
    <row x14ac:dyDescent="0.25" r="2" customHeight="1" ht="18.75">
      <c r="A2" s="4"/>
      <c r="B2" s="2"/>
      <c r="C2" s="3"/>
      <c r="D2" s="3"/>
      <c r="E2" s="3"/>
      <c r="F2" s="3"/>
      <c r="G2" s="3"/>
    </row>
    <row x14ac:dyDescent="0.25" r="3" customHeight="1" ht="18.75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x14ac:dyDescent="0.25" r="4" customHeight="1" ht="18.75">
      <c r="A4" s="8">
        <f>'Attendance Tracker'!A101</f>
        <v>25569.229166666668</v>
      </c>
      <c r="B4" s="9">
        <f>'Attendance Tracker'!B101</f>
      </c>
      <c r="C4" s="10">
        <f>'Attendance Tracker'!C101</f>
      </c>
      <c r="D4" s="10">
        <f>'Attendance Tracker'!D101</f>
      </c>
      <c r="E4" s="10">
        <f>'Attendance Tracker'!F101</f>
      </c>
      <c r="F4" s="10">
        <f>'Attendance Tracker'!G101</f>
      </c>
      <c r="G4" s="10">
        <f>'Attendance Tracker'!H101</f>
      </c>
    </row>
    <row x14ac:dyDescent="0.25" r="5" customHeight="1" ht="18.75">
      <c r="A5" s="8">
        <f>'Attendance Tracker'!A102</f>
        <v>25569.229166666668</v>
      </c>
      <c r="B5" s="9">
        <f>'Attendance Tracker'!B102</f>
      </c>
      <c r="C5" s="10">
        <f>'Attendance Tracker'!C102</f>
      </c>
      <c r="D5" s="10">
        <f>'Attendance Tracker'!D102</f>
      </c>
      <c r="E5" s="10">
        <f>'Attendance Tracker'!F102</f>
      </c>
      <c r="F5" s="10">
        <f>'Attendance Tracker'!G102</f>
      </c>
      <c r="G5" s="10">
        <f>'Attendance Tracker'!H102</f>
      </c>
    </row>
    <row x14ac:dyDescent="0.25" r="6" customHeight="1" ht="18.75">
      <c r="A6" s="8">
        <f>'Attendance Tracker'!A103</f>
        <v>25569.229166666668</v>
      </c>
      <c r="B6" s="9">
        <f>'Attendance Tracker'!B103</f>
      </c>
      <c r="C6" s="10">
        <f>'Attendance Tracker'!C103</f>
      </c>
      <c r="D6" s="10">
        <f>'Attendance Tracker'!D103</f>
      </c>
      <c r="E6" s="10">
        <f>'Attendance Tracker'!F103</f>
      </c>
      <c r="F6" s="10">
        <f>'Attendance Tracker'!G103</f>
      </c>
      <c r="G6" s="10">
        <f>'Attendance Tracker'!H103</f>
      </c>
    </row>
    <row x14ac:dyDescent="0.25" r="7" customHeight="1" ht="18.75">
      <c r="A7" s="8">
        <f>'Attendance Tracker'!A104</f>
        <v>25569.229166666668</v>
      </c>
      <c r="B7" s="9">
        <f>'Attendance Tracker'!B104</f>
      </c>
      <c r="C7" s="10">
        <f>'Attendance Tracker'!C104</f>
      </c>
      <c r="D7" s="10">
        <f>'Attendance Tracker'!D104</f>
      </c>
      <c r="E7" s="10">
        <f>'Attendance Tracker'!F104</f>
      </c>
      <c r="F7" s="10">
        <f>'Attendance Tracker'!G104</f>
      </c>
      <c r="G7" s="10">
        <f>'Attendance Tracker'!H104</f>
      </c>
    </row>
    <row x14ac:dyDescent="0.25" r="8" customHeight="1" ht="18.75">
      <c r="A8" s="8">
        <f>'Attendance Tracker'!A105</f>
        <v>25569.229166666668</v>
      </c>
      <c r="B8" s="9">
        <f>'Attendance Tracker'!B105</f>
      </c>
      <c r="C8" s="10">
        <f>'Attendance Tracker'!C105</f>
      </c>
      <c r="D8" s="10">
        <f>'Attendance Tracker'!D105</f>
      </c>
      <c r="E8" s="10">
        <f>'Attendance Tracker'!F105</f>
      </c>
      <c r="F8" s="10">
        <f>'Attendance Tracker'!G105</f>
      </c>
      <c r="G8" s="10">
        <f>'Attendance Tracker'!H105</f>
      </c>
    </row>
    <row x14ac:dyDescent="0.25" r="9" customHeight="1" ht="18.75">
      <c r="A9" s="8">
        <f>'Attendance Tracker'!A106</f>
        <v>25569.229166666668</v>
      </c>
      <c r="B9" s="9">
        <f>'Attendance Tracker'!B106</f>
      </c>
      <c r="C9" s="10">
        <f>'Attendance Tracker'!C106</f>
      </c>
      <c r="D9" s="10">
        <f>'Attendance Tracker'!D106</f>
      </c>
      <c r="E9" s="10">
        <f>'Attendance Tracker'!F106</f>
      </c>
      <c r="F9" s="10">
        <f>'Attendance Tracker'!G106</f>
      </c>
      <c r="G9" s="10">
        <f>'Attendance Tracker'!H106</f>
      </c>
    </row>
    <row x14ac:dyDescent="0.25" r="10" customHeight="1" ht="18.75">
      <c r="A10" s="8">
        <f>'Attendance Tracker'!A107</f>
        <v>25569.229166666668</v>
      </c>
      <c r="B10" s="9">
        <f>'Attendance Tracker'!B107</f>
      </c>
      <c r="C10" s="10">
        <f>'Attendance Tracker'!C107</f>
      </c>
      <c r="D10" s="10">
        <f>'Attendance Tracker'!D107</f>
      </c>
      <c r="E10" s="10">
        <f>'Attendance Tracker'!F107</f>
      </c>
      <c r="F10" s="10">
        <f>'Attendance Tracker'!G107</f>
      </c>
      <c r="G10" s="10">
        <f>'Attendance Tracker'!H107</f>
      </c>
    </row>
    <row x14ac:dyDescent="0.25" r="11" customHeight="1" ht="18.75">
      <c r="A11" s="8">
        <f>'Attendance Tracker'!A108</f>
        <v>25569.229166666668</v>
      </c>
      <c r="B11" s="9">
        <f>'Attendance Tracker'!B108</f>
      </c>
      <c r="C11" s="10">
        <f>'Attendance Tracker'!C108</f>
      </c>
      <c r="D11" s="10">
        <f>'Attendance Tracker'!D108</f>
      </c>
      <c r="E11" s="10">
        <f>'Attendance Tracker'!F108</f>
      </c>
      <c r="F11" s="10">
        <f>'Attendance Tracker'!G108</f>
      </c>
      <c r="G11" s="10">
        <f>'Attendance Tracker'!H108</f>
      </c>
    </row>
    <row x14ac:dyDescent="0.25" r="12" customHeight="1" ht="18.75">
      <c r="A12" s="8">
        <f>'Attendance Tracker'!A109</f>
        <v>25569.229166666668</v>
      </c>
      <c r="B12" s="9">
        <f>'Attendance Tracker'!B109</f>
      </c>
      <c r="C12" s="10">
        <f>'Attendance Tracker'!C109</f>
      </c>
      <c r="D12" s="10">
        <f>'Attendance Tracker'!D109</f>
      </c>
      <c r="E12" s="10">
        <f>'Attendance Tracker'!F109</f>
      </c>
      <c r="F12" s="10">
        <f>'Attendance Tracker'!G109</f>
      </c>
      <c r="G12" s="10">
        <f>'Attendance Tracker'!H109</f>
      </c>
    </row>
    <row x14ac:dyDescent="0.25" r="13" customHeight="1" ht="18.75">
      <c r="A13" s="8">
        <f>'Attendance Tracker'!A110</f>
        <v>25569.229166666668</v>
      </c>
      <c r="B13" s="9">
        <f>'Attendance Tracker'!B110</f>
      </c>
      <c r="C13" s="10">
        <f>'Attendance Tracker'!C110</f>
      </c>
      <c r="D13" s="10">
        <f>'Attendance Tracker'!D110</f>
      </c>
      <c r="E13" s="10">
        <f>'Attendance Tracker'!F110</f>
      </c>
      <c r="F13" s="10">
        <f>'Attendance Tracker'!G110</f>
      </c>
      <c r="G13" s="10">
        <f>'Attendance Tracker'!H110</f>
      </c>
    </row>
    <row x14ac:dyDescent="0.25" r="14" customHeight="1" ht="18.75">
      <c r="A14" s="8">
        <f>'Attendance Tracker'!A111</f>
        <v>25569.229166666668</v>
      </c>
      <c r="B14" s="9">
        <f>'Attendance Tracker'!B111</f>
      </c>
      <c r="C14" s="10">
        <f>'Attendance Tracker'!C111</f>
      </c>
      <c r="D14" s="10">
        <f>'Attendance Tracker'!D111</f>
      </c>
      <c r="E14" s="10">
        <f>'Attendance Tracker'!F111</f>
      </c>
      <c r="F14" s="10">
        <f>'Attendance Tracker'!G111</f>
      </c>
      <c r="G14" s="10">
        <f>'Attendance Tracker'!H111</f>
      </c>
    </row>
    <row x14ac:dyDescent="0.25" r="15" customHeight="1" ht="18.75">
      <c r="A15" s="8">
        <f>'Attendance Tracker'!A112</f>
        <v>25569.229166666668</v>
      </c>
      <c r="B15" s="9">
        <f>'Attendance Tracker'!B112</f>
      </c>
      <c r="C15" s="10">
        <f>'Attendance Tracker'!C112</f>
      </c>
      <c r="D15" s="10">
        <f>'Attendance Tracker'!D112</f>
      </c>
      <c r="E15" s="10">
        <f>'Attendance Tracker'!F112</f>
      </c>
      <c r="F15" s="10">
        <f>'Attendance Tracker'!G112</f>
      </c>
      <c r="G15" s="10">
        <f>'Attendance Tracker'!H112</f>
      </c>
    </row>
    <row x14ac:dyDescent="0.25" r="16" customHeight="1" ht="18.75">
      <c r="A16" s="8">
        <f>'Attendance Tracker'!A113</f>
        <v>25569.229166666668</v>
      </c>
      <c r="B16" s="9">
        <f>'Attendance Tracker'!B113</f>
      </c>
      <c r="C16" s="10">
        <f>'Attendance Tracker'!C113</f>
      </c>
      <c r="D16" s="10">
        <f>'Attendance Tracker'!D113</f>
      </c>
      <c r="E16" s="10">
        <f>'Attendance Tracker'!F113</f>
      </c>
      <c r="F16" s="10">
        <f>'Attendance Tracker'!G113</f>
      </c>
      <c r="G16" s="10">
        <f>'Attendance Tracker'!H113</f>
      </c>
    </row>
    <row x14ac:dyDescent="0.25" r="17" customHeight="1" ht="18.75">
      <c r="A17" s="8">
        <f>'Attendance Tracker'!A114</f>
        <v>25569.229166666668</v>
      </c>
      <c r="B17" s="9">
        <f>'Attendance Tracker'!B114</f>
      </c>
      <c r="C17" s="10">
        <f>'Attendance Tracker'!C114</f>
      </c>
      <c r="D17" s="10">
        <f>'Attendance Tracker'!D114</f>
      </c>
      <c r="E17" s="10">
        <f>'Attendance Tracker'!F114</f>
      </c>
      <c r="F17" s="10">
        <f>'Attendance Tracker'!G114</f>
      </c>
      <c r="G17" s="10">
        <f>'Attendance Tracker'!H114</f>
      </c>
    </row>
    <row x14ac:dyDescent="0.25" r="18" customHeight="1" ht="18.75">
      <c r="A18" s="8">
        <f>'Attendance Tracker'!A115</f>
        <v>25569.229166666668</v>
      </c>
      <c r="B18" s="9">
        <f>'Attendance Tracker'!B115</f>
      </c>
      <c r="C18" s="10">
        <f>'Attendance Tracker'!C115</f>
      </c>
      <c r="D18" s="10">
        <f>'Attendance Tracker'!D115</f>
      </c>
      <c r="E18" s="10">
        <f>'Attendance Tracker'!F115</f>
      </c>
      <c r="F18" s="10">
        <f>'Attendance Tracker'!G115</f>
      </c>
      <c r="G18" s="10">
        <f>'Attendance Tracker'!H115</f>
      </c>
    </row>
    <row x14ac:dyDescent="0.25" r="19" customHeight="1" ht="18.75">
      <c r="A19" s="8">
        <f>'Attendance Tracker'!A116</f>
        <v>25569.229166666668</v>
      </c>
      <c r="B19" s="9">
        <f>'Attendance Tracker'!B116</f>
      </c>
      <c r="C19" s="10">
        <f>'Attendance Tracker'!C116</f>
      </c>
      <c r="D19" s="10">
        <f>'Attendance Tracker'!D116</f>
      </c>
      <c r="E19" s="10">
        <f>'Attendance Tracker'!F116</f>
      </c>
      <c r="F19" s="10">
        <f>'Attendance Tracker'!G116</f>
      </c>
      <c r="G19" s="10">
        <f>'Attendance Tracker'!H116</f>
      </c>
    </row>
    <row x14ac:dyDescent="0.25" r="20" customHeight="1" ht="18.75">
      <c r="A20" s="8">
        <f>'Attendance Tracker'!A117</f>
        <v>25569.229166666668</v>
      </c>
      <c r="B20" s="9">
        <f>'Attendance Tracker'!B117</f>
      </c>
      <c r="C20" s="10">
        <f>'Attendance Tracker'!C117</f>
      </c>
      <c r="D20" s="10">
        <f>'Attendance Tracker'!D117</f>
      </c>
      <c r="E20" s="10">
        <f>'Attendance Tracker'!F117</f>
      </c>
      <c r="F20" s="10">
        <f>'Attendance Tracker'!G117</f>
      </c>
      <c r="G20" s="10">
        <f>'Attendance Tracker'!H117</f>
      </c>
    </row>
    <row x14ac:dyDescent="0.25" r="21" customHeight="1" ht="18.75">
      <c r="A21" s="8">
        <f>'Attendance Tracker'!A118</f>
        <v>25569.229166666668</v>
      </c>
      <c r="B21" s="9">
        <f>'Attendance Tracker'!B118</f>
      </c>
      <c r="C21" s="10">
        <f>'Attendance Tracker'!C118</f>
      </c>
      <c r="D21" s="10">
        <f>'Attendance Tracker'!D118</f>
      </c>
      <c r="E21" s="10">
        <f>'Attendance Tracker'!F118</f>
      </c>
      <c r="F21" s="10">
        <f>'Attendance Tracker'!G118</f>
      </c>
      <c r="G21" s="10">
        <f>'Attendance Tracker'!H118</f>
      </c>
    </row>
    <row x14ac:dyDescent="0.25" r="22" customHeight="1" ht="18.75">
      <c r="A22" s="8">
        <f>'Attendance Tracker'!A119</f>
        <v>25569.229166666668</v>
      </c>
      <c r="B22" s="9">
        <f>'Attendance Tracker'!B119</f>
      </c>
      <c r="C22" s="10">
        <f>'Attendance Tracker'!C119</f>
      </c>
      <c r="D22" s="10">
        <f>'Attendance Tracker'!D119</f>
      </c>
      <c r="E22" s="10">
        <f>'Attendance Tracker'!F119</f>
      </c>
      <c r="F22" s="10">
        <f>'Attendance Tracker'!G119</f>
      </c>
      <c r="G22" s="10">
        <f>'Attendance Tracker'!H119</f>
      </c>
    </row>
    <row x14ac:dyDescent="0.25" r="23" customHeight="1" ht="18.75">
      <c r="A23" s="8">
        <f>'Attendance Tracker'!A120</f>
        <v>25569.229166666668</v>
      </c>
      <c r="B23" s="9">
        <f>'Attendance Tracker'!B120</f>
      </c>
      <c r="C23" s="10">
        <f>'Attendance Tracker'!C120</f>
      </c>
      <c r="D23" s="10">
        <f>'Attendance Tracker'!D120</f>
      </c>
      <c r="E23" s="10">
        <f>'Attendance Tracker'!F120</f>
      </c>
      <c r="F23" s="10">
        <f>'Attendance Tracker'!G120</f>
      </c>
      <c r="G23" s="10">
        <f>'Attendance Tracker'!H120</f>
      </c>
    </row>
    <row x14ac:dyDescent="0.25" r="24" customHeight="1" ht="18.75">
      <c r="A24" s="8">
        <f>'Attendance Tracker'!A121</f>
        <v>25569.229166666668</v>
      </c>
      <c r="B24" s="9">
        <f>'Attendance Tracker'!B121</f>
      </c>
      <c r="C24" s="10">
        <f>'Attendance Tracker'!C121</f>
      </c>
      <c r="D24" s="10">
        <f>'Attendance Tracker'!D121</f>
      </c>
      <c r="E24" s="10">
        <f>'Attendance Tracker'!F121</f>
      </c>
      <c r="F24" s="10">
        <f>'Attendance Tracker'!G121</f>
      </c>
      <c r="G24" s="10">
        <f>'Attendance Tracker'!H121</f>
      </c>
    </row>
    <row x14ac:dyDescent="0.25" r="25" customHeight="1" ht="18.75">
      <c r="A25" s="8">
        <f>'Attendance Tracker'!A122</f>
        <v>25569.229166666668</v>
      </c>
      <c r="B25" s="9">
        <f>'Attendance Tracker'!B122</f>
      </c>
      <c r="C25" s="10">
        <f>'Attendance Tracker'!C122</f>
      </c>
      <c r="D25" s="10">
        <f>'Attendance Tracker'!D122</f>
      </c>
      <c r="E25" s="10">
        <f>'Attendance Tracker'!F122</f>
      </c>
      <c r="F25" s="10">
        <f>'Attendance Tracker'!G122</f>
      </c>
      <c r="G25" s="10">
        <f>'Attendance Tracker'!H122</f>
      </c>
    </row>
    <row x14ac:dyDescent="0.25" r="26" customHeight="1" ht="18.75">
      <c r="A26" s="8">
        <f>'Attendance Tracker'!A123</f>
        <v>25569.229166666668</v>
      </c>
      <c r="B26" s="9">
        <f>'Attendance Tracker'!B123</f>
      </c>
      <c r="C26" s="10">
        <f>'Attendance Tracker'!C123</f>
      </c>
      <c r="D26" s="10">
        <f>'Attendance Tracker'!D123</f>
      </c>
      <c r="E26" s="10">
        <f>'Attendance Tracker'!F123</f>
      </c>
      <c r="F26" s="10">
        <f>'Attendance Tracker'!G123</f>
      </c>
      <c r="G26" s="10">
        <f>'Attendance Tracker'!H123</f>
      </c>
    </row>
    <row x14ac:dyDescent="0.25" r="27" customHeight="1" ht="18.75">
      <c r="A27" s="8">
        <f>'Attendance Tracker'!A124</f>
        <v>25569.229166666668</v>
      </c>
      <c r="B27" s="9">
        <f>'Attendance Tracker'!B124</f>
      </c>
      <c r="C27" s="10">
        <f>'Attendance Tracker'!C124</f>
      </c>
      <c r="D27" s="10">
        <f>'Attendance Tracker'!D124</f>
      </c>
      <c r="E27" s="10">
        <f>'Attendance Tracker'!F124</f>
      </c>
      <c r="F27" s="10">
        <f>'Attendance Tracker'!G124</f>
      </c>
      <c r="G27" s="10">
        <f>'Attendance Tracker'!H124</f>
      </c>
    </row>
    <row x14ac:dyDescent="0.25" r="28" customHeight="1" ht="18.75">
      <c r="A28" s="8">
        <f>'Attendance Tracker'!A125</f>
        <v>25569.229166666668</v>
      </c>
      <c r="B28" s="9">
        <f>'Attendance Tracker'!B125</f>
      </c>
      <c r="C28" s="10">
        <f>'Attendance Tracker'!C125</f>
      </c>
      <c r="D28" s="10">
        <f>'Attendance Tracker'!D125</f>
      </c>
      <c r="E28" s="10">
        <f>'Attendance Tracker'!F125</f>
      </c>
      <c r="F28" s="10">
        <f>'Attendance Tracker'!G125</f>
      </c>
      <c r="G28" s="10">
        <f>'Attendance Tracker'!H125</f>
      </c>
    </row>
    <row x14ac:dyDescent="0.25" r="29" customHeight="1" ht="18.75">
      <c r="A29" s="8">
        <f>'Attendance Tracker'!A126</f>
        <v>25569.229166666668</v>
      </c>
      <c r="B29" s="9">
        <f>'Attendance Tracker'!B126</f>
      </c>
      <c r="C29" s="10">
        <f>'Attendance Tracker'!C126</f>
      </c>
      <c r="D29" s="10">
        <f>'Attendance Tracker'!D126</f>
      </c>
      <c r="E29" s="10">
        <f>'Attendance Tracker'!F126</f>
      </c>
      <c r="F29" s="10">
        <f>'Attendance Tracker'!G126</f>
      </c>
      <c r="G29" s="10">
        <f>'Attendance Tracker'!H126</f>
      </c>
    </row>
    <row x14ac:dyDescent="0.25" r="30" customHeight="1" ht="18.75">
      <c r="A30" s="8">
        <f>'Attendance Tracker'!A127</f>
        <v>25569.229166666668</v>
      </c>
      <c r="B30" s="9">
        <f>'Attendance Tracker'!B127</f>
      </c>
      <c r="C30" s="10">
        <f>'Attendance Tracker'!C127</f>
      </c>
      <c r="D30" s="10">
        <f>'Attendance Tracker'!D127</f>
      </c>
      <c r="E30" s="10">
        <f>'Attendance Tracker'!F127</f>
      </c>
      <c r="F30" s="10">
        <f>'Attendance Tracker'!G127</f>
      </c>
      <c r="G30" s="10">
        <f>'Attendance Tracker'!H127</f>
      </c>
    </row>
    <row x14ac:dyDescent="0.25" r="31" customHeight="1" ht="18.75">
      <c r="A31" s="8">
        <f>'Attendance Tracker'!A128</f>
        <v>25569.229166666668</v>
      </c>
      <c r="B31" s="9">
        <f>'Attendance Tracker'!B128</f>
      </c>
      <c r="C31" s="10">
        <f>'Attendance Tracker'!C128</f>
      </c>
      <c r="D31" s="10">
        <f>'Attendance Tracker'!D128</f>
      </c>
      <c r="E31" s="10">
        <f>'Attendance Tracker'!F128</f>
      </c>
      <c r="F31" s="10">
        <f>'Attendance Tracker'!G128</f>
      </c>
      <c r="G31" s="10">
        <f>'Attendance Tracker'!H128</f>
      </c>
    </row>
    <row x14ac:dyDescent="0.25" r="32" customHeight="1" ht="18.75">
      <c r="A32" s="8">
        <f>'Attendance Tracker'!A129</f>
        <v>25569.229166666668</v>
      </c>
      <c r="B32" s="9">
        <f>'Attendance Tracker'!B129</f>
      </c>
      <c r="C32" s="10">
        <f>'Attendance Tracker'!C129</f>
      </c>
      <c r="D32" s="10">
        <f>'Attendance Tracker'!D129</f>
      </c>
      <c r="E32" s="10">
        <f>'Attendance Tracker'!F129</f>
      </c>
      <c r="F32" s="10">
        <f>'Attendance Tracker'!G129</f>
      </c>
      <c r="G32" s="10">
        <f>'Attendance Tracker'!H129</f>
      </c>
    </row>
    <row x14ac:dyDescent="0.25" r="33" customHeight="1" ht="18.75">
      <c r="A33" s="8">
        <f>'Attendance Tracker'!A130</f>
        <v>25569.229166666668</v>
      </c>
      <c r="B33" s="9">
        <f>'Attendance Tracker'!B130</f>
      </c>
      <c r="C33" s="10">
        <f>'Attendance Tracker'!C130</f>
      </c>
      <c r="D33" s="10">
        <f>'Attendance Tracker'!D130</f>
      </c>
      <c r="E33" s="10">
        <f>'Attendance Tracker'!F130</f>
      </c>
      <c r="F33" s="10">
        <f>'Attendance Tracker'!G130</f>
      </c>
      <c r="G33" s="10">
        <f>'Attendance Tracker'!H130</f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Attendance Tracker</vt:lpstr>
      <vt:lpstr>4-Month Summary</vt:lpstr>
      <vt:lpstr>Month 1</vt:lpstr>
      <vt:lpstr>Month 2</vt:lpstr>
      <vt:lpstr>Month 3</vt:lpstr>
      <vt:lpstr>Month 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2026-09-24T10:49:40.398Z</dcterms:created>
  <dcterms:modified xsi:type="dcterms:W3CDTF">2026-09-24T10:49:40.398Z</dcterms:modified>
</cp:coreProperties>
</file>